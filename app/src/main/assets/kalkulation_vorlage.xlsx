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mmdaten" sheetId="1" state="visible" r:id="rId3"/>
    <sheet name="Kalk. UR" sheetId="2" state="visible" r:id="rId4"/>
    <sheet name="LV Deckblatt" sheetId="3" state="visible" r:id="rId5"/>
    <sheet name="Leistungsverzeichnis" sheetId="4" state="visible" r:id="rId6"/>
    <sheet name="Aufmaß Glas" sheetId="5" state="visible" r:id="rId7"/>
    <sheet name="Aufmaß Boden" sheetId="6" state="visible" r:id="rId8"/>
  </sheets>
  <definedNames>
    <definedName function="false" hidden="false" localSheetId="3" name="_xlnm.Print_Area" vbProcedure="false">Leistungsverzeichnis!$A$1:$BB$27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<sst xmlns="http://schemas.openxmlformats.org/spreadsheetml/2006/main" count="314" uniqueCount="222">
  <si>
    <t xml:space="preserve">Firma / Herr / Frau</t>
  </si>
  <si>
    <t xml:space="preserve">Zusatz</t>
  </si>
  <si>
    <t xml:space="preserve">Ansprechpartner</t>
  </si>
  <si>
    <t xml:space="preserve">Anschrift</t>
  </si>
  <si>
    <t xml:space="preserve">PLZ und Ort</t>
  </si>
  <si>
    <t xml:space="preserve">Telefon  </t>
  </si>
  <si>
    <t xml:space="preserve">Fax</t>
  </si>
  <si>
    <t xml:space="preserve">Mobil</t>
  </si>
  <si>
    <t xml:space="preserve">e-mail</t>
  </si>
  <si>
    <r>
      <rPr>
        <b val="true"/>
        <sz val="10"/>
        <color rgb="FF000000"/>
        <rFont val="Arial"/>
        <family val="2"/>
        <charset val="1"/>
      </rPr>
      <t xml:space="preserve">Objekt : </t>
    </r>
    <r>
      <rPr>
        <sz val="10"/>
        <color rgb="FF000000"/>
        <rFont val="Arial"/>
        <family val="2"/>
        <charset val="1"/>
      </rPr>
      <t xml:space="preserve">Straße</t>
    </r>
    <r>
      <rPr>
        <b val="true"/>
        <sz val="10"/>
        <color rgb="FF000000"/>
        <rFont val="Arial"/>
        <family val="2"/>
        <charset val="1"/>
      </rPr>
      <t xml:space="preserve">, PLZ Ort:</t>
    </r>
  </si>
  <si>
    <t xml:space="preserve">Rechnungsanschrift :</t>
  </si>
  <si>
    <t xml:space="preserve">Rhythmus</t>
  </si>
  <si>
    <t xml:space="preserve">Reinigungszeit :</t>
  </si>
  <si>
    <t xml:space="preserve">Notizen</t>
  </si>
  <si>
    <t xml:space="preserve">Kunde :  </t>
  </si>
  <si>
    <t xml:space="preserve">UR</t>
  </si>
  <si>
    <t xml:space="preserve">Bodenbeläge</t>
  </si>
  <si>
    <t xml:space="preserve">MA</t>
  </si>
  <si>
    <t xml:space="preserve">Rythmen</t>
  </si>
  <si>
    <t xml:space="preserve">Betonwerkstein</t>
  </si>
  <si>
    <t xml:space="preserve">BTW</t>
  </si>
  <si>
    <t xml:space="preserve">Fö</t>
  </si>
  <si>
    <t xml:space="preserve">1x</t>
  </si>
  <si>
    <t xml:space="preserve">Designboden mit Struktur</t>
  </si>
  <si>
    <t xml:space="preserve">DBS</t>
  </si>
  <si>
    <t xml:space="preserve">JL</t>
  </si>
  <si>
    <t xml:space="preserve">2x</t>
  </si>
  <si>
    <t xml:space="preserve">Designboden ohne Struktur</t>
  </si>
  <si>
    <t xml:space="preserve">DBOS</t>
  </si>
  <si>
    <t xml:space="preserve">Hae</t>
  </si>
  <si>
    <t xml:space="preserve">2,5x</t>
  </si>
  <si>
    <t xml:space="preserve">Elastomerbelag</t>
  </si>
  <si>
    <t xml:space="preserve">Noppe</t>
  </si>
  <si>
    <t xml:space="preserve">WB</t>
  </si>
  <si>
    <t xml:space="preserve">3x</t>
  </si>
  <si>
    <t xml:space="preserve">Fliese</t>
  </si>
  <si>
    <t xml:space="preserve">FL</t>
  </si>
  <si>
    <t xml:space="preserve">SB</t>
  </si>
  <si>
    <t xml:space="preserve">4x</t>
  </si>
  <si>
    <t xml:space="preserve">Holzdiele</t>
  </si>
  <si>
    <t xml:space="preserve">Diele</t>
  </si>
  <si>
    <t xml:space="preserve">TW</t>
  </si>
  <si>
    <t xml:space="preserve">5x</t>
  </si>
  <si>
    <t xml:space="preserve">Kugelg./FL</t>
  </si>
  <si>
    <t xml:space="preserve">KG/FL</t>
  </si>
  <si>
    <t xml:space="preserve">6x</t>
  </si>
  <si>
    <t xml:space="preserve">Linoleum</t>
  </si>
  <si>
    <t xml:space="preserve">Lino</t>
  </si>
  <si>
    <t xml:space="preserve">7x</t>
  </si>
  <si>
    <t xml:space="preserve">Nadelflies</t>
  </si>
  <si>
    <t xml:space="preserve">NF</t>
  </si>
  <si>
    <t xml:space="preserve">2x monatl.</t>
  </si>
  <si>
    <t xml:space="preserve">Objekt: Straße, PLZ Ort</t>
  </si>
  <si>
    <t xml:space="preserve">Parkett</t>
  </si>
  <si>
    <t xml:space="preserve">Park.</t>
  </si>
  <si>
    <t xml:space="preserve">1x monatl.</t>
  </si>
  <si>
    <t xml:space="preserve">PVC</t>
  </si>
  <si>
    <t xml:space="preserve">14 -tägig</t>
  </si>
  <si>
    <t xml:space="preserve">sonstiges (Definition unter d. kalk)</t>
  </si>
  <si>
    <t xml:space="preserve">sonst</t>
  </si>
  <si>
    <t xml:space="preserve">sonstiges</t>
  </si>
  <si>
    <t xml:space="preserve">Estrich</t>
  </si>
  <si>
    <t xml:space="preserve">Beton</t>
  </si>
  <si>
    <t xml:space="preserve">Stein</t>
  </si>
  <si>
    <t xml:space="preserve">Teppich</t>
  </si>
  <si>
    <t xml:space="preserve">Tepp</t>
  </si>
  <si>
    <t xml:space="preserve">Raumbezeichnung</t>
  </si>
  <si>
    <t xml:space="preserve">Belag</t>
  </si>
  <si>
    <t xml:space="preserve">Anzahl</t>
  </si>
  <si>
    <t xml:space="preserve">Länge</t>
  </si>
  <si>
    <t xml:space="preserve">Breite</t>
  </si>
  <si>
    <t xml:space="preserve">m²-Fläche</t>
  </si>
  <si>
    <t xml:space="preserve">m²-Schn.</t>
  </si>
  <si>
    <t xml:space="preserve">Ryth.</t>
  </si>
  <si>
    <t xml:space="preserve">Std.lohn.</t>
  </si>
  <si>
    <t xml:space="preserve">Total</t>
  </si>
  <si>
    <t xml:space="preserve">Zeit</t>
  </si>
  <si>
    <t xml:space="preserve">Rhythmus-
kontrolle</t>
  </si>
  <si>
    <t xml:space="preserve">m</t>
  </si>
  <si>
    <t xml:space="preserve">1x alle</t>
  </si>
  <si>
    <t xml:space="preserve">Mo</t>
  </si>
  <si>
    <t xml:space="preserve">DI</t>
  </si>
  <si>
    <t xml:space="preserve">Mi</t>
  </si>
  <si>
    <t xml:space="preserve">Do</t>
  </si>
  <si>
    <t xml:space="preserve">Fr</t>
  </si>
  <si>
    <t xml:space="preserve">mtl.</t>
  </si>
  <si>
    <t xml:space="preserve">EUR</t>
  </si>
  <si>
    <t xml:space="preserve">TOTAL   </t>
  </si>
  <si>
    <t xml:space="preserve">An- und Abfahrt</t>
  </si>
  <si>
    <t xml:space="preserve">zeitlich erweitert</t>
  </si>
  <si>
    <t xml:space="preserve">Angebotssumme EURO  </t>
  </si>
  <si>
    <t xml:space="preserve">Lohnerhöhung inkl.</t>
  </si>
  <si>
    <t xml:space="preserve">tarifl. Erhöhung</t>
  </si>
  <si>
    <t xml:space="preserve"> </t>
  </si>
  <si>
    <t xml:space="preserve">Preis im nächsten Jahr </t>
  </si>
  <si>
    <t xml:space="preserve">Leistungsverzeichnis</t>
  </si>
  <si>
    <r>
      <rPr>
        <b val="true"/>
        <sz val="12"/>
        <rFont val="Arial"/>
        <family val="2"/>
        <charset val="1"/>
      </rPr>
      <t xml:space="preserve">Hinweise:
</t>
    </r>
    <r>
      <rPr>
        <sz val="12"/>
        <rFont val="Arial"/>
        <family val="2"/>
        <charset val="1"/>
      </rPr>
      <t xml:space="preserve">
Die allgemeinen Verkehrsflächen werden bearbeitet, soweit diese frei zugänglich sind. Wir bitten um Verständnis, dass wir Dekorationsgegenstände (z. B. Blumentöpfe u.ä.) und/oder Möbelstücke nicht umsetzen können.
EDV- und PC-Hardware-Komponenten sind vom Leistungsumfang ausgenommen. 
Keller- und Bodenbereiche sind ebenfalls vom Leistungsumfang ausgeschlossen. 
Die Reinigung von Waschküchen und Trockenräumen kann nur ohne aufgehängte Wäschestücke erfolgen. 
Bauseitig ist durch den Auftraggeber eine kostenfreie Entsorgung der Abfälle vor Ort zu gewährleisten. 
Die entsprechenden hygienischen Verbrauchsartikel (wie WC- und Handtuchpapier, Seife u.ä.) sind nicht im Leistungsumfang enthalten und können auf Wunsch angeboten werden.
</t>
    </r>
    <r>
      <rPr>
        <b val="true"/>
        <u val="single"/>
        <sz val="12"/>
        <rFont val="Arial"/>
        <family val="2"/>
        <charset val="1"/>
      </rPr>
      <t xml:space="preserve">Begriffserklärung:
</t>
    </r>
    <r>
      <rPr>
        <sz val="12"/>
        <rFont val="Arial"/>
        <family val="2"/>
        <charset val="1"/>
      </rPr>
      <t xml:space="preserve">
</t>
    </r>
    <r>
      <rPr>
        <b val="true"/>
        <sz val="12"/>
        <rFont val="Arial"/>
        <family val="2"/>
        <charset val="1"/>
      </rPr>
      <t xml:space="preserve">Sichtreinigung:</t>
    </r>
    <r>
      <rPr>
        <sz val="12"/>
        <rFont val="Arial"/>
        <family val="2"/>
        <charset val="1"/>
      </rPr>
      <t xml:space="preserve"> Hierbei werden punktuell grobe, lose aufliegende Schmutzansammlungen (z.B. Papierknäuel) entfernt.
</t>
    </r>
    <r>
      <rPr>
        <b val="true"/>
        <sz val="12"/>
        <rFont val="Arial"/>
        <family val="2"/>
        <charset val="1"/>
      </rPr>
      <t xml:space="preserve">Griffspuren</t>
    </r>
    <r>
      <rPr>
        <sz val="12"/>
        <rFont val="Arial"/>
        <family val="2"/>
        <charset val="1"/>
      </rPr>
      <t xml:space="preserve"> </t>
    </r>
    <r>
      <rPr>
        <b val="true"/>
        <sz val="12"/>
        <rFont val="Arial"/>
        <family val="2"/>
        <charset val="1"/>
      </rPr>
      <t xml:space="preserve">entfernen:</t>
    </r>
    <r>
      <rPr>
        <sz val="12"/>
        <rFont val="Arial"/>
        <family val="2"/>
        <charset val="1"/>
      </rPr>
      <t xml:space="preserve"> Das Entfernen der Griffspuren umfasst die gezielte Reinigung von Flächen, die häufig berührten Bereichen. Dies umfasst Türgriffe, Türblattkanten, Licht-schalter, Steckdosen, Möbeloberflächen u.ä. Hierbei werden gezielt Kontaktverschmutzungen entfernt.
</t>
    </r>
    <r>
      <rPr>
        <b val="true"/>
        <sz val="12"/>
        <rFont val="Arial"/>
        <family val="2"/>
        <charset val="1"/>
      </rPr>
      <t xml:space="preserve">Versorgen:</t>
    </r>
    <r>
      <rPr>
        <sz val="12"/>
        <rFont val="Arial"/>
        <family val="2"/>
        <charset val="1"/>
      </rPr>
      <t xml:space="preserve"> Der Begriff „Versorgen“ bezieht sich auf die Befüllung und das Nachlegen von Hygieneartikeln, mit vom Auftraggeber bereitsgestellten Hygieneartikeln (z. B. WC-Papier, Papierhandtücher, Seife u. Ä.).
</t>
    </r>
    <r>
      <rPr>
        <b val="true"/>
        <sz val="12"/>
        <rFont val="Arial"/>
        <family val="2"/>
        <charset val="1"/>
      </rPr>
      <t xml:space="preserve">Zwei-stufiges Wischen / Naßwischen</t>
    </r>
    <r>
      <rPr>
        <sz val="12"/>
        <rFont val="Arial"/>
        <family val="2"/>
        <charset val="1"/>
      </rPr>
      <t xml:space="preserve">: Im ersten Arbeitsgang wird mit einem nassen, wenig entfeuchteten Mopp soviel Reinigungsflüssigkeit auf den Belag gebracht, dass haftende wassergebundene Verschmutzungen aufgeweicht bzw. abgelöst werden. In der zweiten Arbeitsstufe wird die Schmutzflotte wieder mit trockenen oder stark entwässerten Wischbezügen aufgenommen.
Der Reinigungseffekt ist i.d.R. besser als beim einstufigen Nasswischverfahren. Zusätzlich tocknet die Fläche schneller ab, so dass Rutschgefahren verringert werden.
</t>
    </r>
    <r>
      <rPr>
        <b val="true"/>
        <sz val="12"/>
        <rFont val="Arial"/>
        <family val="2"/>
        <charset val="1"/>
      </rPr>
      <t xml:space="preserve">Ein-stufiges Wischen / Feuchtwischen:</t>
    </r>
    <r>
      <rPr>
        <sz val="12"/>
        <rFont val="Arial"/>
        <family val="2"/>
        <charset val="1"/>
      </rPr>
      <t xml:space="preserve"> Einstufiges Wischen ist ein Reinigungsverfahren, bei dem der Boden in einem einzigen Arbeitsgang gereinigt wird. Dabei wird ein wenig entwässerter Wischbezug verwendet, und die Flüssigkeit trocknet anschließend ab, wobei ein Teil des Schmutzes möglicherweise zurückbleibt. Es ist für empfindliche Böden geeignet zb für Holzböden.
Zusätzliche Informationen finden Sie auf der Internetpräsenz des Qualitätsverbunds Gebäudedienste. https://www.qv-gebaeudedienste.de/</t>
    </r>
  </si>
  <si>
    <t xml:space="preserve">Kunde:</t>
  </si>
  <si>
    <t xml:space="preserve">Objekt:</t>
  </si>
  <si>
    <t xml:space="preserve">Version:</t>
  </si>
  <si>
    <t xml:space="preserve">Datum:</t>
  </si>
  <si>
    <t xml:space="preserve">Erstellt von:</t>
  </si>
  <si>
    <t xml:space="preserve">Rhythmus:</t>
  </si>
  <si>
    <t xml:space="preserve">Objektleiterin:</t>
  </si>
  <si>
    <t xml:space="preserve">Kontakt Objektleiterin:</t>
  </si>
  <si>
    <t xml:space="preserve">Kontakt Zentrale:</t>
  </si>
  <si>
    <t xml:space="preserve">K. Guttau GmbH &amp; Co. KG
Schlehenkamp 13-15
24146 Kiel</t>
  </si>
  <si>
    <t xml:space="preserve">Rufnummer Zentrale:</t>
  </si>
  <si>
    <t xml:space="preserve">0431/780580</t>
  </si>
  <si>
    <t xml:space="preserve">Mailadresse Zentrale:</t>
  </si>
  <si>
    <t xml:space="preserve">info@guttau.de</t>
  </si>
  <si>
    <t xml:space="preserve">Leistungsverzeichnis für </t>
  </si>
  <si>
    <t xml:space="preserve">VERSION:</t>
  </si>
  <si>
    <t xml:space="preserve">GUTTAU</t>
  </si>
  <si>
    <t xml:space="preserve">Seite 1</t>
  </si>
  <si>
    <t xml:space="preserve">DATUM</t>
  </si>
  <si>
    <t xml:space="preserve">Reinigungshäufigkeit</t>
  </si>
  <si>
    <t xml:space="preserve">Bodenreinigungsarbeiten</t>
  </si>
  <si>
    <t xml:space="preserve">Reinigung von Ausstattungen und Einrichtungen</t>
  </si>
  <si>
    <t xml:space="preserve">Sonstiges</t>
  </si>
  <si>
    <t xml:space="preserve">7xwöchentlich = 7           6xwöchentlich = 6        5xwöchentlich = 5         4xwöchentlich = 4     3xwöchentlich = 3    2/3xwöchentlich = 2,5    2xwöchentlich = 2      1xwöchentlich = 1       2xmonatlich = 2M       1xmonatlich =  M          nach Bedarf </t>
  </si>
  <si>
    <t xml:space="preserve">R = Reinigen,            R* = Reinigen äußerl.,                        S = Saugen;              L = Leeren,                   E = Entstauben,         G = Griffspuren entfernen,                   V = Versorgen,         Lf = Liefern;              n.B.= nach Bedarf</t>
  </si>
  <si>
    <t xml:space="preserve">Kehren</t>
  </si>
  <si>
    <t xml:space="preserve">2-stufig wischen</t>
  </si>
  <si>
    <t xml:space="preserve">Saugen, komplett</t>
  </si>
  <si>
    <t xml:space="preserve">kehren/Saugen, auf Sicht</t>
  </si>
  <si>
    <t xml:space="preserve">masch. Bodenreinigung</t>
  </si>
  <si>
    <t xml:space="preserve">Schmutfangmatten saugen</t>
  </si>
  <si>
    <t xml:space="preserve">Aschenbecher</t>
  </si>
  <si>
    <t xml:space="preserve">Abfallbehälter +</t>
  </si>
  <si>
    <t xml:space="preserve">Papierkörbe</t>
  </si>
  <si>
    <r>
      <rPr>
        <u val="single"/>
        <sz val="13.5"/>
        <rFont val="MS Sans Serif"/>
        <family val="2"/>
        <charset val="1"/>
      </rPr>
      <t xml:space="preserve">freigeräum.</t>
    </r>
    <r>
      <rPr>
        <sz val="13.5"/>
        <rFont val="MS Sans Serif"/>
        <family val="2"/>
        <charset val="1"/>
      </rPr>
      <t xml:space="preserve"> Schreib-</t>
    </r>
  </si>
  <si>
    <t xml:space="preserve">und Beistelltische</t>
  </si>
  <si>
    <t xml:space="preserve">Telefone </t>
  </si>
  <si>
    <t xml:space="preserve">Tisch- und Stühlbeine</t>
  </si>
  <si>
    <t xml:space="preserve">Heizkörper u. Rohre</t>
  </si>
  <si>
    <t xml:space="preserve">soweit frei zugänig</t>
  </si>
  <si>
    <t xml:space="preserve">Fensterbänke, Kabelkanäle</t>
  </si>
  <si>
    <t xml:space="preserve">soweit frei zugängig</t>
  </si>
  <si>
    <t xml:space="preserve">Polstermöbel </t>
  </si>
  <si>
    <t xml:space="preserve">Zimmertüren u. Zargen</t>
  </si>
  <si>
    <t xml:space="preserve">Möbelfronten, außens.,</t>
  </si>
  <si>
    <t xml:space="preserve">soweit frei zugängig,</t>
  </si>
  <si>
    <r>
      <rPr>
        <u val="single"/>
        <sz val="13.5"/>
        <color rgb="FF000000"/>
        <rFont val="MS Sans Serif"/>
        <family val="2"/>
        <charset val="1"/>
      </rPr>
      <t xml:space="preserve">BIS</t>
    </r>
    <r>
      <rPr>
        <sz val="13.5"/>
        <color rgb="FF000000"/>
        <rFont val="MS Sans Serif"/>
        <family val="2"/>
        <charset val="1"/>
      </rPr>
      <t xml:space="preserve"> max. 1,70m Höhe</t>
    </r>
  </si>
  <si>
    <t xml:space="preserve">Schrankoberseiten</t>
  </si>
  <si>
    <t xml:space="preserve">Lichtschalter, Steckdosen</t>
  </si>
  <si>
    <t xml:space="preserve">Bilderrahmen</t>
  </si>
  <si>
    <t xml:space="preserve">Spinnweben entfern.</t>
  </si>
  <si>
    <t xml:space="preserve">Feuerlöscher, -melder</t>
  </si>
  <si>
    <t xml:space="preserve">Handläufe und</t>
  </si>
  <si>
    <t xml:space="preserve">Fuß- / Sockelleisten</t>
  </si>
  <si>
    <t xml:space="preserve">Briefkastenanlage</t>
  </si>
  <si>
    <t xml:space="preserve">Abwasch per Hand</t>
  </si>
  <si>
    <t xml:space="preserve">Geschirrspüler ein-/aus-</t>
  </si>
  <si>
    <t xml:space="preserve">Treppengeländer kompl.</t>
  </si>
  <si>
    <t xml:space="preserve">Spülen, Arbeitsflächen</t>
  </si>
  <si>
    <t xml:space="preserve">Sanitärobjekte,</t>
  </si>
  <si>
    <t xml:space="preserve">einschl. Armaturen</t>
  </si>
  <si>
    <t xml:space="preserve">Spiegel,  Ablagen</t>
  </si>
  <si>
    <t xml:space="preserve">Wandfliesen im</t>
  </si>
  <si>
    <t xml:space="preserve">Spritzbereich</t>
  </si>
  <si>
    <t xml:space="preserve">Wandfliesen + WC-Trenn-</t>
  </si>
  <si>
    <t xml:space="preserve">wände Gesamtfläche</t>
  </si>
  <si>
    <t xml:space="preserve">Wannen + Duschen</t>
  </si>
  <si>
    <t xml:space="preserve">WC - Bürstenhalter</t>
  </si>
  <si>
    <t xml:space="preserve">Seifen- und</t>
  </si>
  <si>
    <t xml:space="preserve">Papierspender</t>
  </si>
  <si>
    <t xml:space="preserve">8xjährl.=8J                6xjährl.=6J   4xjährl.=4J       2xjährl.=2J   1xjährl.=1J</t>
  </si>
  <si>
    <t xml:space="preserve">   </t>
  </si>
  <si>
    <t xml:space="preserve">R</t>
  </si>
  <si>
    <t xml:space="preserve">L</t>
  </si>
  <si>
    <t xml:space="preserve">R*</t>
  </si>
  <si>
    <t xml:space="preserve">E</t>
  </si>
  <si>
    <t xml:space="preserve">S</t>
  </si>
  <si>
    <t xml:space="preserve">G</t>
  </si>
  <si>
    <t xml:space="preserve">V</t>
  </si>
  <si>
    <t xml:space="preserve">Raumart</t>
  </si>
  <si>
    <t xml:space="preserve">Aufmaßliste - Fenster</t>
  </si>
  <si>
    <t xml:space="preserve">weitergeleitet - DATUM  </t>
  </si>
  <si>
    <t xml:space="preserve">Name 1</t>
  </si>
  <si>
    <t xml:space="preserve">Name 2</t>
  </si>
  <si>
    <t xml:space="preserve">Name 3</t>
  </si>
  <si>
    <t xml:space="preserve">Objekt</t>
  </si>
  <si>
    <t xml:space="preserve">€ / qm =</t>
  </si>
  <si>
    <t xml:space="preserve">Std.satz =</t>
  </si>
  <si>
    <t xml:space="preserve">lfd. Nr.</t>
  </si>
  <si>
    <t xml:space="preserve">Bezeichnung</t>
  </si>
  <si>
    <t xml:space="preserve">Höhe</t>
  </si>
  <si>
    <t xml:space="preserve">Fläche</t>
  </si>
  <si>
    <t xml:space="preserve">Gesamtfläche</t>
  </si>
  <si>
    <t xml:space="preserve">Preis / qm</t>
  </si>
  <si>
    <t xml:space="preserve">Gesamtpreis</t>
  </si>
  <si>
    <t xml:space="preserve">Std.satz</t>
  </si>
  <si>
    <t xml:space="preserve">Gesamt-Std.</t>
  </si>
  <si>
    <t xml:space="preserve">qm / Std.</t>
  </si>
  <si>
    <t xml:space="preserve">lfn. 1</t>
  </si>
  <si>
    <t xml:space="preserve">Summe </t>
  </si>
  <si>
    <t xml:space="preserve">Pos. 1</t>
  </si>
  <si>
    <t xml:space="preserve">Glasreinigung</t>
  </si>
  <si>
    <t xml:space="preserve">1 x 1/4-jährlich, von innen und außen</t>
  </si>
  <si>
    <t xml:space="preserve">qm   </t>
  </si>
  <si>
    <t xml:space="preserve">EURO</t>
  </si>
  <si>
    <t xml:space="preserve">pro Rein. =&gt;</t>
  </si>
  <si>
    <t xml:space="preserve">ZE       = &gt;</t>
  </si>
  <si>
    <t xml:space="preserve"> qm / Std</t>
  </si>
  <si>
    <t xml:space="preserve">Pos. 2</t>
  </si>
  <si>
    <t xml:space="preserve">Rahmenreinigung</t>
  </si>
  <si>
    <t xml:space="preserve">1 x 1/2-jährlich, von innen und außen</t>
  </si>
  <si>
    <t xml:space="preserve">Pos. 3</t>
  </si>
  <si>
    <t xml:space="preserve">Rahmenreinigung inkl. Falze</t>
  </si>
  <si>
    <t xml:space="preserve">Pos. 4</t>
  </si>
  <si>
    <t xml:space="preserve">An-/Abfahrt</t>
  </si>
  <si>
    <t xml:space="preserve">Gesamt</t>
  </si>
  <si>
    <t xml:space="preserve">Aufmaßliste - Reinigung</t>
  </si>
  <si>
    <t xml:space="preserve">KD-Nr.:</t>
  </si>
  <si>
    <t xml:space="preserve">lfd.Nr.</t>
  </si>
  <si>
    <t xml:space="preserve">Bodenart</t>
  </si>
  <si>
    <t xml:space="preserve">Länge m</t>
  </si>
  <si>
    <t xml:space="preserve">Breite m</t>
  </si>
  <si>
    <t xml:space="preserve">qm einzelnd</t>
  </si>
  <si>
    <t xml:space="preserve">qm gesamt</t>
  </si>
  <si>
    <t xml:space="preserve">SUMME total</t>
  </si>
</sst>
</file>

<file path=xl/styles.xml><?xml version="1.0" encoding="utf-8"?>
<styleSheet xmlns="http://schemas.openxmlformats.org/spreadsheetml/2006/main">
  <numFmts count="21">
    <numFmt numFmtId="164" formatCode="General"/>
    <numFmt numFmtId="165" formatCode="_-* #,##0.00\ [$€-1]_-;\-* #,##0.00\ [$€-1]_-;_-* \-??\ [$€-1]_-"/>
    <numFmt numFmtId="166" formatCode="_-* #,##0.00\ [$€]_-;\-* #,##0.00\ [$€]_-;_-* \-??\ [$€]_-;_-@_-"/>
    <numFmt numFmtId="167" formatCode="0\ %"/>
    <numFmt numFmtId="168" formatCode="_-* #,##0.00&quot; DM&quot;_-;\-* #,##0.00&quot; DM&quot;_-;_-* \-??&quot; DM&quot;_-;_-@_-"/>
    <numFmt numFmtId="169" formatCode="dd/mm/yyyy"/>
    <numFmt numFmtId="170" formatCode="@"/>
    <numFmt numFmtId="171" formatCode="#,##0.00&quot; €&quot;"/>
    <numFmt numFmtId="172" formatCode="0"/>
    <numFmt numFmtId="173" formatCode="0.000"/>
    <numFmt numFmtId="174" formatCode="0.00&quot; m²&quot;"/>
    <numFmt numFmtId="175" formatCode="#,##0"/>
    <numFmt numFmtId="176" formatCode="#,##0.00"/>
    <numFmt numFmtId="177" formatCode="#,##0.00\ _€"/>
    <numFmt numFmtId="178" formatCode="0.00"/>
    <numFmt numFmtId="179" formatCode="#,##0.00_ ;\-#,##0.00\ "/>
    <numFmt numFmtId="180" formatCode="#,##0.00&quot; DM&quot;;[RED]\-#,##0.00&quot; DM&quot;"/>
    <numFmt numFmtId="181" formatCode="0.00\ %"/>
    <numFmt numFmtId="182" formatCode="dd/mm/yy;@"/>
    <numFmt numFmtId="183" formatCode="#,##0.00&quot; €/m²&quot;"/>
    <numFmt numFmtId="184" formatCode="_-* #,##0.00&quot; €&quot;_-;\-* #,##0.00&quot; €&quot;_-;_-* \-??&quot; €&quot;_-;_-@_-"/>
  </numFmts>
  <fonts count="59">
    <font>
      <sz val="10"/>
      <name val="MS Sans Serif"/>
      <family val="0"/>
      <charset val="1"/>
    </font>
    <font>
      <sz val="10"/>
      <name val="Arial"/>
      <family val="0"/>
    </font>
    <font>
      <sz val="10"/>
      <name val="Arial"/>
      <family val="0"/>
    </font>
    <font>
      <sz val="10"/>
      <name val="Arial"/>
      <family val="0"/>
    </font>
    <font>
      <sz val="10"/>
      <name val="Arial"/>
      <family val="2"/>
      <charset val="1"/>
    </font>
    <font>
      <sz val="10"/>
      <color rgb="FF000000"/>
      <name val="Arial"/>
      <family val="2"/>
      <charset val="1"/>
    </font>
    <font>
      <b val="true"/>
      <sz val="10"/>
      <color rgb="FF000000"/>
      <name val="Arial"/>
      <family val="2"/>
      <charset val="1"/>
    </font>
    <font>
      <sz val="10"/>
      <color rgb="FF000000"/>
      <name val="MS Sans Serif"/>
      <family val="2"/>
      <charset val="1"/>
    </font>
    <font>
      <sz val="10"/>
      <name val="MS Sans Serif"/>
      <family val="2"/>
      <charset val="1"/>
    </font>
    <font>
      <b val="true"/>
      <sz val="10"/>
      <color rgb="FF000000"/>
      <name val="MS Sans Serif"/>
      <family val="2"/>
      <charset val="1"/>
    </font>
    <font>
      <b val="true"/>
      <sz val="10"/>
      <name val="MS Sans Serif"/>
      <family val="2"/>
      <charset val="1"/>
    </font>
    <font>
      <b val="true"/>
      <sz val="10"/>
      <name val="MS Sans Serif"/>
      <family val="0"/>
      <charset val="1"/>
    </font>
    <font>
      <sz val="8"/>
      <name val="MS Sans Serif"/>
      <family val="0"/>
      <charset val="1"/>
    </font>
    <font>
      <i val="true"/>
      <u val="single"/>
      <sz val="10"/>
      <color rgb="FF000000"/>
      <name val="MS Sans Serif"/>
      <family val="2"/>
      <charset val="1"/>
    </font>
    <font>
      <b val="true"/>
      <sz val="8"/>
      <name val="MS Sans Serif"/>
      <family val="2"/>
      <charset val="1"/>
    </font>
    <font>
      <b val="true"/>
      <sz val="8.5"/>
      <color rgb="FF000000"/>
      <name val="MS Sans Serif"/>
      <family val="2"/>
      <charset val="1"/>
    </font>
    <font>
      <b val="true"/>
      <sz val="8.5"/>
      <name val="MS Sans Serif"/>
      <family val="2"/>
      <charset val="1"/>
    </font>
    <font>
      <b val="true"/>
      <sz val="10"/>
      <color rgb="FFFF0000"/>
      <name val="MS Sans Serif"/>
      <family val="2"/>
      <charset val="1"/>
    </font>
    <font>
      <sz val="8.5"/>
      <name val="MS Sans Serif"/>
      <family val="0"/>
      <charset val="1"/>
    </font>
    <font>
      <b val="true"/>
      <i val="true"/>
      <sz val="10"/>
      <color rgb="FF000000"/>
      <name val="MS Sans Serif"/>
      <family val="2"/>
      <charset val="1"/>
    </font>
    <font>
      <i val="true"/>
      <sz val="10"/>
      <name val="MS Sans Serif"/>
      <family val="2"/>
      <charset val="1"/>
    </font>
    <font>
      <sz val="10"/>
      <color rgb="FF000000"/>
      <name val="MS Sans Serif"/>
      <family val="0"/>
      <charset val="1"/>
    </font>
    <font>
      <sz val="10"/>
      <color rgb="FFFF0000"/>
      <name val="MS Sans Serif"/>
      <family val="2"/>
      <charset val="1"/>
    </font>
    <font>
      <sz val="8.5"/>
      <name val="MS Sans Serif"/>
      <family val="2"/>
      <charset val="1"/>
    </font>
    <font>
      <i val="true"/>
      <sz val="10"/>
      <color rgb="FF000000"/>
      <name val="MS Sans Serif"/>
      <family val="2"/>
      <charset val="1"/>
    </font>
    <font>
      <i val="true"/>
      <sz val="10"/>
      <name val="MS Sans Serif"/>
      <family val="0"/>
      <charset val="1"/>
    </font>
    <font>
      <b val="true"/>
      <u val="single"/>
      <sz val="16"/>
      <name val="Arial"/>
      <family val="2"/>
      <charset val="1"/>
    </font>
    <font>
      <b val="true"/>
      <sz val="12"/>
      <name val="Arial"/>
      <family val="2"/>
      <charset val="1"/>
    </font>
    <font>
      <sz val="12"/>
      <name val="Arial"/>
      <family val="2"/>
      <charset val="1"/>
    </font>
    <font>
      <b val="true"/>
      <u val="single"/>
      <sz val="12"/>
      <name val="Arial"/>
      <family val="2"/>
      <charset val="1"/>
    </font>
    <font>
      <b val="true"/>
      <sz val="16"/>
      <name val="Arial"/>
      <family val="2"/>
      <charset val="1"/>
    </font>
    <font>
      <sz val="16"/>
      <name val="Arial"/>
      <family val="2"/>
      <charset val="1"/>
    </font>
    <font>
      <b val="true"/>
      <sz val="20"/>
      <name val="Arial"/>
      <family val="2"/>
      <charset val="1"/>
    </font>
    <font>
      <sz val="13.5"/>
      <name val="MS Sans Serif"/>
      <family val="2"/>
      <charset val="1"/>
    </font>
    <font>
      <sz val="13.5"/>
      <color rgb="FF000000"/>
      <name val="MS Sans Serif"/>
      <family val="2"/>
      <charset val="1"/>
    </font>
    <font>
      <i val="true"/>
      <sz val="13.5"/>
      <color rgb="FF000000"/>
      <name val="MS Sans Serif"/>
      <family val="0"/>
      <charset val="1"/>
    </font>
    <font>
      <u val="single"/>
      <sz val="13.5"/>
      <name val="MS Sans Serif"/>
      <family val="2"/>
      <charset val="1"/>
    </font>
    <font>
      <sz val="14"/>
      <name val="MS Sans Serif"/>
      <family val="2"/>
      <charset val="1"/>
    </font>
    <font>
      <sz val="11"/>
      <name val="MS Sans Serif"/>
      <family val="2"/>
      <charset val="1"/>
    </font>
    <font>
      <sz val="13.5"/>
      <color rgb="FFFF0000"/>
      <name val="MS Sans Serif"/>
      <family val="2"/>
      <charset val="1"/>
    </font>
    <font>
      <u val="single"/>
      <sz val="13.5"/>
      <color rgb="FF000000"/>
      <name val="MS Sans Serif"/>
      <family val="2"/>
      <charset val="1"/>
    </font>
    <font>
      <sz val="12"/>
      <name val="MS Sans Serif"/>
      <family val="2"/>
      <charset val="1"/>
    </font>
    <font>
      <sz val="9"/>
      <name val="Arial"/>
      <family val="2"/>
      <charset val="1"/>
    </font>
    <font>
      <sz val="14"/>
      <name val="Arial"/>
      <family val="2"/>
      <charset val="1"/>
    </font>
    <font>
      <sz val="16"/>
      <color rgb="FF000000"/>
      <name val="Arial"/>
      <family val="2"/>
      <charset val="1"/>
    </font>
    <font>
      <sz val="16"/>
      <color rgb="FF0000FF"/>
      <name val="Arial"/>
      <family val="2"/>
      <charset val="1"/>
    </font>
    <font>
      <b val="true"/>
      <sz val="14"/>
      <name val="Arial"/>
      <family val="2"/>
      <charset val="1"/>
    </font>
    <font>
      <b val="true"/>
      <sz val="10"/>
      <name val="Arial"/>
      <family val="2"/>
      <charset val="1"/>
    </font>
    <font>
      <sz val="10"/>
      <color rgb="FF0000FF"/>
      <name val="Arial"/>
      <family val="2"/>
      <charset val="1"/>
    </font>
    <font>
      <u val="single"/>
      <sz val="10"/>
      <color rgb="FF0000FF"/>
      <name val="MS Sans Serif"/>
      <family val="0"/>
      <charset val="1"/>
    </font>
    <font>
      <b val="true"/>
      <sz val="10"/>
      <color rgb="FF0000FF"/>
      <name val="Arial"/>
      <family val="2"/>
      <charset val="1"/>
    </font>
    <font>
      <b val="true"/>
      <sz val="10"/>
      <color rgb="FF0000FF"/>
      <name val="MS Sans Serif"/>
      <family val="2"/>
      <charset val="1"/>
    </font>
    <font>
      <sz val="10"/>
      <color rgb="FF0000FF"/>
      <name val="MS Sans Serif"/>
      <family val="2"/>
      <charset val="1"/>
    </font>
    <font>
      <b val="true"/>
      <sz val="9"/>
      <name val="Arial"/>
      <family val="2"/>
      <charset val="1"/>
    </font>
    <font>
      <b val="true"/>
      <sz val="8.5"/>
      <color rgb="FF0000FF"/>
      <name val="MS Sans Serif"/>
      <family val="2"/>
      <charset val="1"/>
    </font>
    <font>
      <b val="true"/>
      <i val="true"/>
      <sz val="10"/>
      <name val="Arial"/>
      <family val="2"/>
      <charset val="1"/>
    </font>
    <font>
      <b val="true"/>
      <sz val="9"/>
      <color rgb="FF0000FF"/>
      <name val="Arial"/>
      <family val="2"/>
      <charset val="1"/>
    </font>
    <font>
      <b val="true"/>
      <sz val="10"/>
      <color rgb="FFFF0000"/>
      <name val="Arial"/>
      <family val="2"/>
      <charset val="1"/>
    </font>
    <font>
      <b val="true"/>
      <u val="single"/>
      <sz val="10"/>
      <name val="Arial"/>
      <family val="2"/>
      <charset val="1"/>
    </font>
  </fonts>
  <fills count="8">
    <fill>
      <patternFill patternType="none"/>
    </fill>
    <fill>
      <patternFill patternType="gray125"/>
    </fill>
    <fill>
      <patternFill patternType="solid">
        <fgColor rgb="FFCCFFFF"/>
        <bgColor rgb="FFCCFFFF"/>
      </patternFill>
    </fill>
    <fill>
      <patternFill patternType="solid">
        <fgColor theme="0" tint="-0.15"/>
        <bgColor rgb="FFC0C0C0"/>
      </patternFill>
    </fill>
    <fill>
      <patternFill patternType="solid">
        <fgColor rgb="FFC0C0C0"/>
        <bgColor rgb="FFBFBFBF"/>
      </patternFill>
    </fill>
    <fill>
      <patternFill patternType="solid">
        <fgColor rgb="FFFFFF99"/>
        <bgColor rgb="FFFFFFCC"/>
      </patternFill>
    </fill>
    <fill>
      <patternFill patternType="solid">
        <fgColor theme="0" tint="-0.25"/>
        <bgColor rgb="FFC0C0C0"/>
      </patternFill>
    </fill>
    <fill>
      <patternFill patternType="solid">
        <fgColor rgb="FFCCFFCC"/>
        <bgColor rgb="FFCCFFFF"/>
      </patternFill>
    </fill>
  </fills>
  <borders count="77">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top style="medium"/>
      <bottom/>
      <diagonal/>
    </border>
    <border diagonalUp="false" diagonalDown="false">
      <left/>
      <right/>
      <top style="medium"/>
      <bottom/>
      <diagonal/>
    </border>
    <border diagonalUp="false" diagonalDown="false">
      <left style="medium"/>
      <right style="medium"/>
      <top style="medium"/>
      <bottom style="medium"/>
      <diagonal/>
    </border>
    <border diagonalUp="false" diagonalDown="false">
      <left/>
      <right style="medium"/>
      <top style="medium"/>
      <bottom/>
      <diagonal/>
    </border>
    <border diagonalUp="false" diagonalDown="false">
      <left style="medium"/>
      <right style="medium"/>
      <top style="medium"/>
      <bottom/>
      <diagonal/>
    </border>
    <border diagonalUp="false" diagonalDown="false">
      <left style="medium"/>
      <right/>
      <top/>
      <bottom/>
      <diagonal/>
    </border>
    <border diagonalUp="false" diagonalDown="false">
      <left style="medium"/>
      <right style="medium"/>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style="medium"/>
      <right style="thin"/>
      <top style="medium"/>
      <bottom/>
      <diagonal/>
    </border>
    <border diagonalUp="false" diagonalDown="false">
      <left style="thin"/>
      <right/>
      <top style="medium"/>
      <bottom/>
      <diagonal/>
    </border>
    <border diagonalUp="false" diagonalDown="false">
      <left style="thin"/>
      <right style="thin"/>
      <top style="medium"/>
      <bottom/>
      <diagonal/>
    </border>
    <border diagonalUp="false" diagonalDown="false">
      <left/>
      <right style="thin"/>
      <top style="medium"/>
      <bottom/>
      <diagonal/>
    </border>
    <border diagonalUp="false" diagonalDown="false">
      <left style="medium"/>
      <right style="thin"/>
      <top/>
      <bottom/>
      <diagonal/>
    </border>
    <border diagonalUp="false" diagonalDown="false">
      <left style="thin"/>
      <right style="thin"/>
      <top/>
      <bottom/>
      <diagonal/>
    </border>
    <border diagonalUp="false" diagonalDown="false">
      <left/>
      <right style="thin"/>
      <top/>
      <bottom/>
      <diagonal/>
    </border>
    <border diagonalUp="false" diagonalDown="false">
      <left style="medium"/>
      <right style="thin"/>
      <top/>
      <bottom style="medium"/>
      <diagonal/>
    </border>
    <border diagonalUp="false" diagonalDown="false">
      <left style="thin"/>
      <right/>
      <top/>
      <bottom style="medium"/>
      <diagonal/>
    </border>
    <border diagonalUp="false" diagonalDown="false">
      <left style="thin"/>
      <right style="thin"/>
      <top/>
      <bottom style="medium"/>
      <diagonal/>
    </border>
    <border diagonalUp="false" diagonalDown="false">
      <left/>
      <right style="thin"/>
      <top/>
      <bottom style="medium"/>
      <diagonal/>
    </border>
    <border diagonalUp="false" diagonalDown="false">
      <left style="medium"/>
      <right style="medium"/>
      <top style="thin"/>
      <bottom style="thin"/>
      <diagonal/>
    </border>
    <border diagonalUp="false" diagonalDown="false">
      <left/>
      <right/>
      <top style="thin"/>
      <bottom style="thin"/>
      <diagonal/>
    </border>
    <border diagonalUp="false" diagonalDown="false">
      <left/>
      <right/>
      <top style="thin"/>
      <bottom style="double"/>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medium"/>
      <bottom style="thin"/>
      <diagonal/>
    </border>
    <border diagonalUp="false" diagonalDown="false">
      <left/>
      <right/>
      <top style="thin"/>
      <bottom style="medium"/>
      <diagonal/>
    </border>
    <border diagonalUp="false" diagonalDown="false">
      <left/>
      <right/>
      <top/>
      <bottom style="thin"/>
      <diagonal/>
    </border>
    <border diagonalUp="false" diagonalDown="false">
      <left style="thin"/>
      <right style="thin"/>
      <top style="medium"/>
      <bottom style="thin"/>
      <diagonal/>
    </border>
    <border diagonalUp="false" diagonalDown="false">
      <left style="thin"/>
      <right style="medium"/>
      <top style="medium"/>
      <bottom/>
      <diagonal/>
    </border>
    <border diagonalUp="false" diagonalDown="false">
      <left style="thin"/>
      <right style="thin"/>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style="medium"/>
      <bottom style="medium"/>
      <diagonal/>
    </border>
    <border diagonalUp="false" diagonalDown="false">
      <left style="thin"/>
      <right style="medium"/>
      <top/>
      <bottom style="medium"/>
      <diagonal/>
    </border>
    <border diagonalUp="false" diagonalDown="false">
      <left style="thin"/>
      <right/>
      <top style="medium"/>
      <bottom style="medium"/>
      <diagonal/>
    </border>
    <border diagonalUp="false" diagonalDown="false">
      <left style="medium"/>
      <right style="thin"/>
      <top style="medium"/>
      <bottom style="medium"/>
      <diagonal/>
    </border>
    <border diagonalUp="false" diagonalDown="false">
      <left/>
      <right style="thin"/>
      <top style="medium"/>
      <bottom style="medium"/>
      <diagonal/>
    </border>
    <border diagonalUp="false" diagonalDown="false">
      <left style="thin"/>
      <right style="medium"/>
      <top style="medium"/>
      <bottom style="medium"/>
      <diagonal/>
    </border>
    <border diagonalUp="false" diagonalDown="false">
      <left style="medium"/>
      <right style="thin"/>
      <top style="medium"/>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style="thin"/>
      <diagonal/>
    </border>
    <border diagonalUp="false" diagonalDown="false">
      <left/>
      <right style="thin"/>
      <top style="thin"/>
      <bottom style="thin"/>
      <diagonal/>
    </border>
    <border diagonalUp="false" diagonalDown="false">
      <left style="thin"/>
      <right style="medium"/>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bottom style="thin"/>
      <diagonal/>
    </border>
    <border diagonalUp="false" diagonalDown="false">
      <left style="medium">
        <color rgb="FF0000FF"/>
      </left>
      <right style="medium">
        <color rgb="FF0000FF"/>
      </right>
      <top style="medium">
        <color rgb="FF0000FF"/>
      </top>
      <bottom style="medium">
        <color rgb="FF0000FF"/>
      </bottom>
      <diagonal/>
    </border>
    <border diagonalUp="false" diagonalDown="false">
      <left style="medium">
        <color rgb="FF0000FF"/>
      </left>
      <right style="thin">
        <color rgb="FF0000FF"/>
      </right>
      <top style="medium">
        <color rgb="FF0000FF"/>
      </top>
      <bottom style="medium">
        <color rgb="FF0000FF"/>
      </bottom>
      <diagonal/>
    </border>
    <border diagonalUp="false" diagonalDown="false">
      <left style="thin">
        <color rgb="FF0000FF"/>
      </left>
      <right/>
      <top style="medium">
        <color rgb="FF0000FF"/>
      </top>
      <bottom style="medium">
        <color rgb="FF0000FF"/>
      </bottom>
      <diagonal/>
    </border>
    <border diagonalUp="false" diagonalDown="false">
      <left style="thin">
        <color rgb="FF0000FF"/>
      </left>
      <right style="medium">
        <color rgb="FF0000FF"/>
      </right>
      <top style="medium">
        <color rgb="FF0000FF"/>
      </top>
      <bottom style="medium">
        <color rgb="FF0000FF"/>
      </bottom>
      <diagonal/>
    </border>
    <border diagonalUp="false" diagonalDown="false">
      <left style="thin">
        <color rgb="FF0000FF"/>
      </left>
      <right style="thin">
        <color rgb="FF0000FF"/>
      </right>
      <top style="medium">
        <color rgb="FF0000FF"/>
      </top>
      <bottom style="medium">
        <color rgb="FF0000FF"/>
      </bottom>
      <diagonal/>
    </border>
    <border diagonalUp="false" diagonalDown="false">
      <left style="medium">
        <color rgb="FF0000FF"/>
      </left>
      <right style="thin">
        <color rgb="FF0000FF"/>
      </right>
      <top style="medium">
        <color rgb="FF0000FF"/>
      </top>
      <bottom style="thin">
        <color rgb="FF0000FF"/>
      </bottom>
      <diagonal/>
    </border>
    <border diagonalUp="false" diagonalDown="false">
      <left style="thin">
        <color rgb="FF0000FF"/>
      </left>
      <right style="thin">
        <color rgb="FF0000FF"/>
      </right>
      <top style="medium">
        <color rgb="FF0000FF"/>
      </top>
      <bottom style="thin">
        <color rgb="FF0000FF"/>
      </bottom>
      <diagonal/>
    </border>
    <border diagonalUp="false" diagonalDown="false">
      <left style="thin">
        <color rgb="FF0000FF"/>
      </left>
      <right style="medium">
        <color rgb="FF0000FF"/>
      </right>
      <top style="medium">
        <color rgb="FF0000FF"/>
      </top>
      <bottom style="thin">
        <color rgb="FF0000FF"/>
      </bottom>
      <diagonal/>
    </border>
    <border diagonalUp="false" diagonalDown="false">
      <left style="medium">
        <color rgb="FF0000FF"/>
      </left>
      <right style="thin">
        <color rgb="FF0000FF"/>
      </right>
      <top style="thin">
        <color rgb="FF0000FF"/>
      </top>
      <bottom style="medium">
        <color rgb="FF0000FF"/>
      </bottom>
      <diagonal/>
    </border>
    <border diagonalUp="false" diagonalDown="false">
      <left style="thin">
        <color rgb="FF0000FF"/>
      </left>
      <right style="thin">
        <color rgb="FF0000FF"/>
      </right>
      <top style="thin">
        <color rgb="FF0000FF"/>
      </top>
      <bottom style="medium">
        <color rgb="FF0000FF"/>
      </bottom>
      <diagonal/>
    </border>
    <border diagonalUp="false" diagonalDown="false">
      <left style="thin">
        <color rgb="FF0000FF"/>
      </left>
      <right style="medium">
        <color rgb="FF0000FF"/>
      </right>
      <top style="thin">
        <color rgb="FF0000FF"/>
      </top>
      <bottom style="medium">
        <color rgb="FF0000FF"/>
      </bottom>
      <diagonal/>
    </border>
    <border diagonalUp="false" diagonalDown="false">
      <left style="thin"/>
      <right style="thin"/>
      <top style="thin"/>
      <bottom style="double"/>
      <diagonal/>
    </border>
    <border diagonalUp="false" diagonalDown="false">
      <left style="thin"/>
      <right style="medium"/>
      <top style="thin"/>
      <bottom style="double"/>
      <diagonal/>
    </border>
    <border diagonalUp="false" diagonalDown="false">
      <left style="thin">
        <color rgb="FF0000FF"/>
      </left>
      <right style="thin">
        <color rgb="FF0000FF"/>
      </right>
      <top style="medium">
        <color rgb="FF0000FF"/>
      </top>
      <bottom style="double">
        <color rgb="FF0000FF"/>
      </bottom>
      <diagonal/>
    </border>
    <border diagonalUp="false" diagonalDown="false">
      <left/>
      <right/>
      <top/>
      <bottom style="double"/>
      <diagonal/>
    </border>
    <border diagonalUp="false" diagonalDown="false">
      <left style="medium">
        <color rgb="FF0000FF"/>
      </left>
      <right style="thin">
        <color rgb="FF0000FF"/>
      </right>
      <top style="medium">
        <color rgb="FF0000FF"/>
      </top>
      <bottom/>
      <diagonal/>
    </border>
    <border diagonalUp="false" diagonalDown="false">
      <left style="thin">
        <color rgb="FF0000FF"/>
      </left>
      <right style="thin">
        <color rgb="FF0000FF"/>
      </right>
      <top style="medium">
        <color rgb="FF0000FF"/>
      </top>
      <bottom/>
      <diagonal/>
    </border>
    <border diagonalUp="false" diagonalDown="false">
      <left style="thin"/>
      <right style="thin"/>
      <top style="thin"/>
      <bottom style="medium"/>
      <diagonal/>
    </border>
    <border diagonalUp="false" diagonalDown="false">
      <left style="thin"/>
      <right style="medium">
        <color rgb="FF0000FF"/>
      </right>
      <top style="thin"/>
      <bottom style="medium"/>
      <diagonal/>
    </border>
    <border diagonalUp="false" diagonalDown="false">
      <left style="thin"/>
      <right/>
      <top/>
      <bottom style="double"/>
      <diagonal/>
    </border>
    <border diagonalUp="false" diagonalDown="false">
      <left style="thin"/>
      <right style="thin"/>
      <top/>
      <bottom style="double"/>
      <diagonal/>
    </border>
  </borders>
  <cellStyleXfs count="3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80"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xf numFmtId="164" fontId="49"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false" applyAlignment="true" applyProtection="false">
      <alignment horizontal="general" vertical="bottom" textRotation="0" wrapText="false" indent="0" shrinkToFit="false"/>
    </xf>
  </cellStyleXfs>
  <cellXfs count="39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true">
      <alignment horizontal="general" vertical="bottom" textRotation="0" wrapText="false" indent="0" shrinkToFit="false"/>
      <protection locked="false" hidden="false"/>
    </xf>
    <xf numFmtId="164" fontId="6" fillId="0" borderId="0" xfId="0" applyFont="true" applyBorder="false" applyAlignment="false" applyProtection="true">
      <alignment horizontal="general" vertical="bottom" textRotation="0" wrapText="false" indent="0" shrinkToFit="false"/>
      <protection locked="false" hidden="false"/>
    </xf>
    <xf numFmtId="164" fontId="6" fillId="2" borderId="1" xfId="0" applyFont="true" applyBorder="true" applyAlignment="false" applyProtection="true">
      <alignment horizontal="general" vertical="bottom" textRotation="0" wrapText="false" indent="0" shrinkToFit="false"/>
      <protection locked="false" hidden="false"/>
    </xf>
    <xf numFmtId="164" fontId="7" fillId="0" borderId="0" xfId="0" applyFont="true" applyBorder="false" applyAlignment="false" applyProtection="true">
      <alignment horizontal="general" vertical="bottom" textRotation="0" wrapText="false" indent="0" shrinkToFit="false"/>
      <protection locked="false" hidden="false"/>
    </xf>
    <xf numFmtId="164" fontId="8"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center" vertical="bottom" textRotation="0" wrapText="false" indent="0" shrinkToFit="false"/>
      <protection locked="fals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5" fontId="0" fillId="0" borderId="0" xfId="0" applyFont="false" applyBorder="false" applyAlignment="false" applyProtection="true">
      <alignment horizontal="general" vertical="bottom" textRotation="0" wrapText="false" indent="0" shrinkToFit="false"/>
      <protection locked="false" hidden="false"/>
    </xf>
    <xf numFmtId="164" fontId="9" fillId="0" borderId="0" xfId="0" applyFont="true" applyBorder="false" applyAlignment="false" applyProtection="true">
      <alignment horizontal="general" vertical="bottom" textRotation="0" wrapText="false" indent="0" shrinkToFit="false"/>
      <protection locked="false" hidden="false"/>
    </xf>
    <xf numFmtId="164" fontId="10" fillId="0" borderId="0" xfId="0" applyFont="true" applyBorder="false" applyAlignment="false" applyProtection="true">
      <alignment horizontal="general" vertical="bottom" textRotation="0" wrapText="false" indent="0" shrinkToFit="false"/>
      <protection locked="false" hidden="false"/>
    </xf>
    <xf numFmtId="164" fontId="11" fillId="0" borderId="0" xfId="0" applyFont="true" applyBorder="false" applyAlignment="true" applyProtection="true">
      <alignment horizontal="center" vertical="bottom" textRotation="0" wrapText="false" indent="0" shrinkToFit="false"/>
      <protection locked="false" hidden="false"/>
    </xf>
    <xf numFmtId="164" fontId="11" fillId="0" borderId="0" xfId="0" applyFont="true" applyBorder="true" applyAlignment="true" applyProtection="true">
      <alignment horizontal="center" vertical="bottom" textRotation="0" wrapText="false" indent="0" shrinkToFit="false"/>
      <protection locked="false" hidden="false"/>
    </xf>
    <xf numFmtId="169" fontId="11" fillId="0" borderId="0" xfId="0" applyFont="true" applyBorder="true" applyAlignment="true" applyProtection="true">
      <alignment horizontal="center" vertical="bottom" textRotation="0" wrapText="false" indent="0" shrinkToFit="false"/>
      <protection locked="false" hidden="false"/>
    </xf>
    <xf numFmtId="164" fontId="8" fillId="0" borderId="0" xfId="0" applyFont="true" applyBorder="false" applyAlignment="true" applyProtection="true">
      <alignment horizontal="center" vertical="bottom" textRotation="0" wrapText="false" indent="0" shrinkToFit="false"/>
      <protection locked="false" hidden="false"/>
    </xf>
    <xf numFmtId="164" fontId="4" fillId="0" borderId="2" xfId="0" applyFont="true" applyBorder="true" applyAlignment="true" applyProtection="true">
      <alignment horizontal="center" vertical="bottom" textRotation="0" wrapText="false" indent="0" shrinkToFit="false"/>
      <protection locked="false" hidden="false"/>
    </xf>
    <xf numFmtId="170" fontId="7" fillId="0" borderId="0" xfId="0" applyFont="true" applyBorder="false" applyAlignment="false" applyProtection="true">
      <alignment horizontal="general" vertical="bottom" textRotation="0" wrapText="false" indent="0" shrinkToFit="false"/>
      <protection locked="false" hidden="false"/>
    </xf>
    <xf numFmtId="164" fontId="9" fillId="3" borderId="3" xfId="0" applyFont="true" applyBorder="true" applyAlignment="true" applyProtection="false">
      <alignment horizontal="center" vertical="bottom" textRotation="0" wrapText="false" indent="0" shrinkToFit="false"/>
      <protection locked="true" hidden="false"/>
    </xf>
    <xf numFmtId="164" fontId="10" fillId="3" borderId="4" xfId="0" applyFont="true" applyBorder="true" applyAlignment="false" applyProtection="false">
      <alignment horizontal="general" vertical="bottom" textRotation="0" wrapText="false" indent="0" shrinkToFit="false"/>
      <protection locked="true" hidden="false"/>
    </xf>
    <xf numFmtId="164" fontId="10" fillId="3" borderId="5" xfId="0" applyFont="true" applyBorder="true" applyAlignment="false" applyProtection="false">
      <alignment horizontal="general" vertical="bottom" textRotation="0" wrapText="false" indent="0" shrinkToFit="false"/>
      <protection locked="true" hidden="false"/>
    </xf>
    <xf numFmtId="164" fontId="10" fillId="3" borderId="6" xfId="0" applyFont="true" applyBorder="true" applyAlignment="true" applyProtection="false">
      <alignment horizontal="center" vertical="bottom" textRotation="0" wrapText="false" indent="0" shrinkToFit="false"/>
      <protection locked="true" hidden="false"/>
    </xf>
    <xf numFmtId="164" fontId="7" fillId="0" borderId="3" xfId="0" applyFont="true" applyBorder="true" applyAlignment="true" applyProtection="false">
      <alignment horizontal="left" vertical="bottom" textRotation="0" wrapText="false" indent="0" shrinkToFit="false"/>
      <protection locked="true" hidden="false"/>
    </xf>
    <xf numFmtId="164" fontId="8" fillId="0" borderId="4" xfId="0" applyFont="true" applyBorder="true" applyAlignment="false" applyProtection="false">
      <alignment horizontal="general" vertical="bottom" textRotation="0" wrapText="false" indent="0" shrinkToFit="false"/>
      <protection locked="true" hidden="false"/>
    </xf>
    <xf numFmtId="164" fontId="8" fillId="0" borderId="7" xfId="0" applyFont="true" applyBorder="true" applyAlignment="false" applyProtection="false">
      <alignment horizontal="general" vertical="bottom" textRotation="0" wrapText="false" indent="0" shrinkToFit="false"/>
      <protection locked="true" hidden="false"/>
    </xf>
    <xf numFmtId="164" fontId="8" fillId="0" borderId="6" xfId="0" applyFont="true" applyBorder="true" applyAlignment="false" applyProtection="false">
      <alignment horizontal="general" vertical="bottom" textRotation="0" wrapText="false" indent="0" shrinkToFit="false"/>
      <protection locked="true" hidden="false"/>
    </xf>
    <xf numFmtId="164" fontId="7" fillId="0" borderId="8" xfId="0" applyFont="true" applyBorder="true" applyAlignment="true" applyProtection="false">
      <alignment horizontal="lef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9" xfId="0" applyFont="true" applyBorder="true" applyAlignment="false" applyProtection="false">
      <alignment horizontal="general"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false" hidden="false"/>
    </xf>
    <xf numFmtId="164" fontId="4" fillId="0" borderId="10" xfId="0" applyFont="true" applyBorder="true" applyAlignment="true" applyProtection="false">
      <alignment horizontal="right" vertical="bottom" textRotation="0" wrapText="false" indent="0" shrinkToFit="false"/>
      <protection locked="true" hidden="false"/>
    </xf>
    <xf numFmtId="164" fontId="12" fillId="0" borderId="9" xfId="0" applyFont="true" applyBorder="true" applyAlignment="false" applyProtection="false">
      <alignment horizontal="general" vertical="bottom" textRotation="0" wrapText="false" indent="0" shrinkToFit="false"/>
      <protection locked="true" hidden="false"/>
    </xf>
    <xf numFmtId="164" fontId="12" fillId="0" borderId="1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center" vertical="bottom" textRotation="0" wrapText="false" indent="0" shrinkToFit="false"/>
      <protection locked="false" hidden="false"/>
    </xf>
    <xf numFmtId="164" fontId="4" fillId="0" borderId="2" xfId="0" applyFont="true" applyBorder="true" applyAlignment="false" applyProtection="true">
      <alignment horizontal="general" vertical="bottom" textRotation="0" wrapText="false" indent="0" shrinkToFit="false"/>
      <protection locked="fals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false" applyProtection="true">
      <alignment horizontal="general" vertical="bottom" textRotation="0" wrapText="false" indent="0" shrinkToFit="false"/>
      <protection locked="false" hidden="false"/>
    </xf>
    <xf numFmtId="164" fontId="12" fillId="0" borderId="9"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2" fillId="0" borderId="10" xfId="0" applyFont="true" applyBorder="true" applyAlignment="true" applyProtection="false">
      <alignment horizontal="center" vertical="bottom" textRotation="0" wrapText="false" indent="0" shrinkToFit="false"/>
      <protection locked="true" hidden="false"/>
    </xf>
    <xf numFmtId="164" fontId="7" fillId="0" borderId="11" xfId="0" applyFont="true" applyBorder="true" applyAlignment="true" applyProtection="false">
      <alignment horizontal="left" vertical="bottom" textRotation="0" wrapText="false" indent="0" shrinkToFit="false"/>
      <protection locked="true" hidden="false"/>
    </xf>
    <xf numFmtId="164" fontId="8" fillId="0" borderId="12" xfId="0" applyFont="true" applyBorder="true" applyAlignment="false" applyProtection="false">
      <alignment horizontal="general" vertical="bottom" textRotation="0" wrapText="false" indent="0" shrinkToFit="false"/>
      <protection locked="true" hidden="false"/>
    </xf>
    <xf numFmtId="164" fontId="12" fillId="0" borderId="13" xfId="0" applyFont="true" applyBorder="true" applyAlignment="true" applyProtection="false">
      <alignment horizontal="center" vertical="bottom" textRotation="0" wrapText="false" indent="0" shrinkToFit="false"/>
      <protection locked="true" hidden="false"/>
    </xf>
    <xf numFmtId="164" fontId="12" fillId="0" borderId="12" xfId="0" applyFont="true" applyBorder="true" applyAlignment="true" applyProtection="false">
      <alignment horizontal="center" vertical="bottom" textRotation="0" wrapText="false" indent="0" shrinkToFit="false"/>
      <protection locked="true" hidden="false"/>
    </xf>
    <xf numFmtId="164" fontId="12" fillId="0" borderId="14"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false" hidden="false"/>
    </xf>
    <xf numFmtId="164" fontId="7" fillId="0" borderId="0" xfId="0" applyFont="true" applyBorder="false" applyAlignment="true" applyProtection="true">
      <alignment horizontal="center" vertical="bottom" textRotation="0" wrapText="false" indent="0" shrinkToFit="false"/>
      <protection locked="false" hidden="false"/>
    </xf>
    <xf numFmtId="165" fontId="7" fillId="0" borderId="0" xfId="0" applyFont="true" applyBorder="false" applyAlignment="false" applyProtection="true">
      <alignment horizontal="general" vertical="bottom" textRotation="0" wrapText="false" indent="0" shrinkToFit="false"/>
      <protection locked="false" hidden="false"/>
    </xf>
    <xf numFmtId="164" fontId="14" fillId="0" borderId="12" xfId="0" applyFont="true" applyBorder="true" applyAlignment="true" applyProtection="true">
      <alignment horizontal="right" vertical="bottom" textRotation="0" wrapText="false" indent="0" shrinkToFit="false"/>
      <protection locked="false" hidden="false"/>
    </xf>
    <xf numFmtId="164" fontId="15" fillId="4" borderId="15" xfId="0" applyFont="true" applyBorder="true" applyAlignment="true" applyProtection="true">
      <alignment horizontal="center" vertical="bottom" textRotation="0" wrapText="false" indent="0" shrinkToFit="false"/>
      <protection locked="false" hidden="false"/>
    </xf>
    <xf numFmtId="164" fontId="16" fillId="4" borderId="16" xfId="0" applyFont="true" applyBorder="true" applyAlignment="true" applyProtection="true">
      <alignment horizontal="center" vertical="bottom" textRotation="0" wrapText="false" indent="0" shrinkToFit="false"/>
      <protection locked="false" hidden="false"/>
    </xf>
    <xf numFmtId="164" fontId="16" fillId="5" borderId="16" xfId="0" applyFont="true" applyBorder="true" applyAlignment="true" applyProtection="true">
      <alignment horizontal="center" vertical="bottom" textRotation="0" wrapText="false" indent="0" shrinkToFit="false"/>
      <protection locked="false" hidden="false"/>
    </xf>
    <xf numFmtId="164" fontId="16" fillId="5" borderId="17" xfId="0" applyFont="true" applyBorder="true" applyAlignment="true" applyProtection="true">
      <alignment horizontal="center" vertical="bottom" textRotation="0" wrapText="false" indent="0" shrinkToFit="false"/>
      <protection locked="false" hidden="false"/>
    </xf>
    <xf numFmtId="164" fontId="16" fillId="4" borderId="18" xfId="0" applyFont="true" applyBorder="true" applyAlignment="true" applyProtection="true">
      <alignment horizontal="center" vertical="bottom" textRotation="0" wrapText="false" indent="0" shrinkToFit="false"/>
      <protection locked="false" hidden="false"/>
    </xf>
    <xf numFmtId="164" fontId="16" fillId="4" borderId="17" xfId="0" applyFont="true" applyBorder="true" applyAlignment="true" applyProtection="true">
      <alignment horizontal="center" vertical="bottom" textRotation="0" wrapText="false" indent="0" shrinkToFit="false"/>
      <protection locked="false" hidden="false"/>
    </xf>
    <xf numFmtId="165" fontId="16" fillId="4" borderId="17" xfId="0" applyFont="true" applyBorder="true" applyAlignment="true" applyProtection="true">
      <alignment horizontal="center" vertical="bottom" textRotation="0" wrapText="false" indent="0" shrinkToFit="false"/>
      <protection locked="false" hidden="false"/>
    </xf>
    <xf numFmtId="164" fontId="0" fillId="4" borderId="7" xfId="0" applyFont="false" applyBorder="true" applyAlignment="true" applyProtection="true">
      <alignment horizontal="center" vertical="bottom" textRotation="0" wrapText="false" indent="0" shrinkToFit="false"/>
      <protection locked="false" hidden="false"/>
    </xf>
    <xf numFmtId="164" fontId="0" fillId="4" borderId="3" xfId="0" applyFont="false" applyBorder="true" applyAlignment="true" applyProtection="true">
      <alignment horizontal="center" vertical="bottom" textRotation="0" wrapText="false" indent="0" shrinkToFit="false"/>
      <protection locked="false" hidden="false"/>
    </xf>
    <xf numFmtId="164" fontId="11" fillId="4" borderId="5" xfId="0" applyFont="true" applyBorder="true" applyAlignment="true" applyProtection="true">
      <alignment horizontal="center" vertical="center" textRotation="0" wrapText="true" indent="0" shrinkToFit="false"/>
      <protection locked="false" hidden="false"/>
    </xf>
    <xf numFmtId="164" fontId="7" fillId="4" borderId="19" xfId="0" applyFont="true" applyBorder="true" applyAlignment="false" applyProtection="true">
      <alignment horizontal="general" vertical="bottom" textRotation="0" wrapText="false" indent="0" shrinkToFit="false"/>
      <protection locked="false" hidden="false"/>
    </xf>
    <xf numFmtId="164" fontId="8" fillId="4" borderId="2" xfId="0" applyFont="true" applyBorder="true" applyAlignment="false" applyProtection="true">
      <alignment horizontal="general" vertical="bottom" textRotation="0" wrapText="false" indent="0" shrinkToFit="false"/>
      <protection locked="false" hidden="false"/>
    </xf>
    <xf numFmtId="164" fontId="16" fillId="5" borderId="2" xfId="0" applyFont="true" applyBorder="true" applyAlignment="true" applyProtection="true">
      <alignment horizontal="center" vertical="bottom" textRotation="0" wrapText="false" indent="0" shrinkToFit="false"/>
      <protection locked="false" hidden="false"/>
    </xf>
    <xf numFmtId="164" fontId="8" fillId="4" borderId="20" xfId="0" applyFont="true" applyBorder="true" applyAlignment="false" applyProtection="true">
      <alignment horizontal="general" vertical="bottom" textRotation="0" wrapText="false" indent="0" shrinkToFit="false"/>
      <protection locked="false" hidden="false"/>
    </xf>
    <xf numFmtId="164" fontId="0" fillId="4" borderId="20" xfId="0" applyFont="false" applyBorder="true" applyAlignment="true" applyProtection="true">
      <alignment horizontal="center" vertical="bottom" textRotation="0" wrapText="false" indent="0" shrinkToFit="false"/>
      <protection locked="false" hidden="false"/>
    </xf>
    <xf numFmtId="164" fontId="8" fillId="4" borderId="21" xfId="0" applyFont="true" applyBorder="true" applyAlignment="false" applyProtection="true">
      <alignment horizontal="general" vertical="bottom" textRotation="0" wrapText="false" indent="0" shrinkToFit="false"/>
      <protection locked="false" hidden="false"/>
    </xf>
    <xf numFmtId="171" fontId="17" fillId="5" borderId="5" xfId="0" applyFont="true" applyBorder="true" applyAlignment="true" applyProtection="true">
      <alignment horizontal="center" vertical="bottom" textRotation="0" wrapText="false" indent="0" shrinkToFit="false"/>
      <protection locked="false" hidden="false"/>
    </xf>
    <xf numFmtId="165" fontId="0" fillId="4" borderId="20" xfId="0" applyFont="false" applyBorder="true" applyAlignment="false" applyProtection="true">
      <alignment horizontal="general" vertical="bottom" textRotation="0" wrapText="false" indent="0" shrinkToFit="false"/>
      <protection locked="false" hidden="false"/>
    </xf>
    <xf numFmtId="164" fontId="16" fillId="4" borderId="2" xfId="0" applyFont="true" applyBorder="true" applyAlignment="true" applyProtection="true">
      <alignment horizontal="center" vertical="bottom" textRotation="0" wrapText="false" indent="0" shrinkToFit="false"/>
      <protection locked="false" hidden="false"/>
    </xf>
    <xf numFmtId="164" fontId="10" fillId="4" borderId="9" xfId="0" applyFont="true" applyBorder="true" applyAlignment="true" applyProtection="true">
      <alignment horizontal="center" vertical="bottom" textRotation="0" wrapText="false" indent="0" shrinkToFit="false"/>
      <protection locked="false" hidden="false"/>
    </xf>
    <xf numFmtId="164" fontId="10" fillId="4" borderId="8" xfId="0" applyFont="true" applyBorder="true" applyAlignment="true" applyProtection="true">
      <alignment horizontal="center" vertical="bottom" textRotation="0" wrapText="false" indent="0" shrinkToFit="false"/>
      <protection locked="false" hidden="false"/>
    </xf>
    <xf numFmtId="164" fontId="9" fillId="4" borderId="22" xfId="0" applyFont="true" applyBorder="true" applyAlignment="false" applyProtection="true">
      <alignment horizontal="general" vertical="bottom" textRotation="0" wrapText="false" indent="0" shrinkToFit="false"/>
      <protection locked="false" hidden="false"/>
    </xf>
    <xf numFmtId="164" fontId="8" fillId="4" borderId="23" xfId="0" applyFont="true" applyBorder="true" applyAlignment="false" applyProtection="true">
      <alignment horizontal="general" vertical="bottom" textRotation="0" wrapText="false" indent="0" shrinkToFit="false"/>
      <protection locked="false" hidden="false"/>
    </xf>
    <xf numFmtId="164" fontId="16" fillId="5" borderId="23" xfId="0" applyFont="true" applyBorder="true" applyAlignment="true" applyProtection="true">
      <alignment horizontal="center" vertical="bottom" textRotation="0" wrapText="false" indent="0" shrinkToFit="false"/>
      <protection locked="false" hidden="false"/>
    </xf>
    <xf numFmtId="164" fontId="16" fillId="5" borderId="24" xfId="0" applyFont="true" applyBorder="true" applyAlignment="true" applyProtection="true">
      <alignment horizontal="center" vertical="bottom" textRotation="0" wrapText="false" indent="0" shrinkToFit="false"/>
      <protection locked="false" hidden="false"/>
    </xf>
    <xf numFmtId="164" fontId="8" fillId="4" borderId="25" xfId="0" applyFont="true" applyBorder="true" applyAlignment="false" applyProtection="true">
      <alignment horizontal="general" vertical="bottom" textRotation="0" wrapText="false" indent="0" shrinkToFit="false"/>
      <protection locked="false" hidden="false"/>
    </xf>
    <xf numFmtId="164" fontId="0" fillId="4" borderId="24" xfId="0" applyFont="false" applyBorder="true" applyAlignment="true" applyProtection="true">
      <alignment horizontal="center" vertical="bottom" textRotation="0" wrapText="false" indent="0" shrinkToFit="false"/>
      <protection locked="false" hidden="false"/>
    </xf>
    <xf numFmtId="164" fontId="18" fillId="4" borderId="24" xfId="0" applyFont="true" applyBorder="true" applyAlignment="false" applyProtection="true">
      <alignment horizontal="general" vertical="bottom" textRotation="0" wrapText="false" indent="0" shrinkToFit="false"/>
      <protection locked="false" hidden="false"/>
    </xf>
    <xf numFmtId="164" fontId="16" fillId="4" borderId="24" xfId="0" applyFont="true" applyBorder="true" applyAlignment="true" applyProtection="true">
      <alignment horizontal="center" vertical="bottom" textRotation="0" wrapText="false" indent="0" shrinkToFit="false"/>
      <protection locked="false" hidden="false"/>
    </xf>
    <xf numFmtId="165" fontId="18" fillId="4" borderId="24" xfId="0" applyFont="true" applyBorder="true" applyAlignment="false" applyProtection="true">
      <alignment horizontal="general" vertical="bottom" textRotation="0" wrapText="false" indent="0" shrinkToFit="false"/>
      <protection locked="false" hidden="false"/>
    </xf>
    <xf numFmtId="164" fontId="16" fillId="4" borderId="23" xfId="0" applyFont="true" applyBorder="true" applyAlignment="true" applyProtection="true">
      <alignment horizontal="center" vertical="bottom" textRotation="0" wrapText="false" indent="0" shrinkToFit="false"/>
      <protection locked="false" hidden="false"/>
    </xf>
    <xf numFmtId="164" fontId="0" fillId="4" borderId="13" xfId="0" applyFont="false" applyBorder="true" applyAlignment="true" applyProtection="true">
      <alignment horizontal="center" vertical="bottom" textRotation="0" wrapText="false" indent="0" shrinkToFit="false"/>
      <protection locked="false" hidden="false"/>
    </xf>
    <xf numFmtId="164" fontId="0" fillId="4" borderId="11" xfId="0" applyFont="false" applyBorder="true" applyAlignment="true" applyProtection="true">
      <alignment horizontal="center" vertical="bottom" textRotation="0" wrapText="false" indent="0" shrinkToFit="false"/>
      <protection locked="false" hidden="false"/>
    </xf>
    <xf numFmtId="164" fontId="19" fillId="0" borderId="0" xfId="0" applyFont="true" applyBorder="false" applyAlignment="false" applyProtection="true">
      <alignment horizontal="general" vertical="bottom" textRotation="0" wrapText="false" indent="0" shrinkToFit="false"/>
      <protection locked="false" hidden="false"/>
    </xf>
    <xf numFmtId="164" fontId="20" fillId="0" borderId="0" xfId="0" applyFont="true" applyBorder="false" applyAlignment="false" applyProtection="true">
      <alignment horizontal="general" vertical="bottom" textRotation="0" wrapText="false" indent="0" shrinkToFit="false"/>
      <protection locked="false" hidden="false"/>
    </xf>
    <xf numFmtId="164" fontId="0" fillId="0" borderId="3" xfId="0" applyFont="false" applyBorder="true" applyAlignment="true" applyProtection="true">
      <alignment horizontal="center" vertical="bottom" textRotation="0" wrapText="false" indent="0" shrinkToFit="false"/>
      <protection locked="false" hidden="false"/>
    </xf>
    <xf numFmtId="164" fontId="0" fillId="0" borderId="4" xfId="0" applyFont="false" applyBorder="true" applyAlignment="false" applyProtection="true">
      <alignment horizontal="general" vertical="bottom" textRotation="0" wrapText="false" indent="0" shrinkToFit="false"/>
      <protection locked="false" hidden="false"/>
    </xf>
    <xf numFmtId="164" fontId="0" fillId="0" borderId="6" xfId="0" applyFont="false" applyBorder="true" applyAlignment="false" applyProtection="true">
      <alignment horizontal="general" vertical="bottom" textRotation="0" wrapText="false" indent="0" shrinkToFit="false"/>
      <protection locked="false" hidden="false"/>
    </xf>
    <xf numFmtId="164" fontId="0" fillId="0" borderId="9" xfId="0" applyFont="false" applyBorder="true" applyAlignment="false" applyProtection="true">
      <alignment horizontal="general" vertical="bottom" textRotation="0" wrapText="false" indent="0" shrinkToFit="false"/>
      <protection locked="false" hidden="false"/>
    </xf>
    <xf numFmtId="164" fontId="21" fillId="0" borderId="0" xfId="0" applyFont="true" applyBorder="false" applyAlignment="false" applyProtection="true">
      <alignment horizontal="general" vertical="bottom" textRotation="0" wrapText="false" indent="0" shrinkToFit="false"/>
      <protection locked="false" hidden="false"/>
    </xf>
    <xf numFmtId="172" fontId="7" fillId="0" borderId="1" xfId="0" applyFont="true" applyBorder="true" applyAlignment="true" applyProtection="true">
      <alignment horizontal="center" vertical="bottom" textRotation="0" wrapText="false" indent="0" shrinkToFit="false"/>
      <protection locked="false" hidden="false"/>
    </xf>
    <xf numFmtId="173" fontId="8" fillId="0" borderId="1" xfId="0" applyFont="true" applyBorder="true" applyAlignment="false" applyProtection="true">
      <alignment horizontal="general" vertical="bottom" textRotation="0" wrapText="false" indent="0" shrinkToFit="false"/>
      <protection locked="false" hidden="false"/>
    </xf>
    <xf numFmtId="174" fontId="0" fillId="4" borderId="0" xfId="0" applyFont="false" applyBorder="false" applyAlignment="false" applyProtection="false">
      <alignment horizontal="general" vertical="bottom" textRotation="0" wrapText="false" indent="0" shrinkToFit="false"/>
      <protection locked="true" hidden="false"/>
    </xf>
    <xf numFmtId="175" fontId="8" fillId="0" borderId="0" xfId="0" applyFont="true" applyBorder="false" applyAlignment="true" applyProtection="true">
      <alignment horizontal="center" vertical="bottom" textRotation="0" wrapText="false" indent="0" shrinkToFit="false"/>
      <protection locked="false" hidden="false"/>
    </xf>
    <xf numFmtId="176" fontId="8" fillId="0" borderId="0" xfId="0" applyFont="true" applyBorder="false" applyAlignment="false" applyProtection="true">
      <alignment horizontal="general" vertical="bottom" textRotation="0" wrapText="false" indent="0" shrinkToFit="false"/>
      <protection locked="false" hidden="false"/>
    </xf>
    <xf numFmtId="177" fontId="7" fillId="4" borderId="0" xfId="0" applyFont="true" applyBorder="false" applyAlignment="false" applyProtection="false">
      <alignment horizontal="general" vertical="bottom" textRotation="0" wrapText="false" indent="0" shrinkToFit="false"/>
      <protection locked="true" hidden="false"/>
    </xf>
    <xf numFmtId="178" fontId="7" fillId="4" borderId="0" xfId="0" applyFont="true" applyBorder="false" applyAlignment="false" applyProtection="false">
      <alignment horizontal="general" vertical="bottom" textRotation="0" wrapText="false" indent="0" shrinkToFit="false"/>
      <protection locked="true" hidden="false"/>
    </xf>
    <xf numFmtId="178" fontId="0" fillId="0" borderId="8" xfId="0" applyFont="false" applyBorder="true" applyAlignment="true" applyProtection="true">
      <alignment horizontal="center" vertical="bottom" textRotation="0" wrapText="false" indent="0" shrinkToFit="false"/>
      <protection locked="false" hidden="false"/>
    </xf>
    <xf numFmtId="178" fontId="0" fillId="0" borderId="0" xfId="0" applyFont="false" applyBorder="false" applyAlignment="true" applyProtection="true">
      <alignment horizontal="center" vertical="bottom" textRotation="0" wrapText="false" indent="0" shrinkToFit="false"/>
      <protection locked="false" hidden="false"/>
    </xf>
    <xf numFmtId="178" fontId="0" fillId="0" borderId="10" xfId="0" applyFont="false" applyBorder="true" applyAlignment="true" applyProtection="true">
      <alignment horizontal="center" vertical="bottom" textRotation="0" wrapText="false" indent="0" shrinkToFit="false"/>
      <protection locked="false" hidden="false"/>
    </xf>
    <xf numFmtId="164" fontId="0" fillId="0" borderId="26" xfId="0" applyFont="false" applyBorder="true" applyAlignment="true" applyProtection="true">
      <alignment horizontal="center" vertical="bottom" textRotation="0" wrapText="false" indent="0" shrinkToFit="false"/>
      <protection locked="false" hidden="false"/>
    </xf>
    <xf numFmtId="176" fontId="8" fillId="0" borderId="0" xfId="0" applyFont="true" applyBorder="false" applyAlignment="false" applyProtection="false">
      <alignment horizontal="general" vertical="bottom" textRotation="0" wrapText="false" indent="0" shrinkToFit="false"/>
      <protection locked="true" hidden="false"/>
    </xf>
    <xf numFmtId="176" fontId="22" fillId="0" borderId="0" xfId="0" applyFont="true" applyBorder="false" applyAlignment="true" applyProtection="true">
      <alignment horizontal="center" vertical="bottom" textRotation="0" wrapText="false" indent="0" shrinkToFit="false"/>
      <protection locked="false" hidden="false"/>
    </xf>
    <xf numFmtId="176"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9" fillId="0" borderId="27" xfId="0" applyFont="true" applyBorder="true" applyAlignment="false" applyProtection="true">
      <alignment horizontal="general" vertical="bottom" textRotation="0" wrapText="false" indent="0" shrinkToFit="false"/>
      <protection locked="false" hidden="false"/>
    </xf>
    <xf numFmtId="176" fontId="23" fillId="0" borderId="27" xfId="0" applyFont="true" applyBorder="true" applyAlignment="true" applyProtection="true">
      <alignment horizontal="center" vertical="bottom" textRotation="0" wrapText="false" indent="0" shrinkToFit="false"/>
      <protection locked="false" hidden="false"/>
    </xf>
    <xf numFmtId="176" fontId="10" fillId="0" borderId="27" xfId="0" applyFont="true" applyBorder="true" applyAlignment="false" applyProtection="false">
      <alignment horizontal="general" vertical="bottom" textRotation="0" wrapText="false" indent="0" shrinkToFit="false"/>
      <protection locked="true" hidden="false"/>
    </xf>
    <xf numFmtId="176" fontId="0" fillId="0" borderId="27" xfId="0" applyFont="false" applyBorder="true" applyAlignment="true" applyProtection="true">
      <alignment horizontal="center" vertical="bottom" textRotation="0" wrapText="false" indent="0" shrinkToFit="false"/>
      <protection locked="false" hidden="false"/>
    </xf>
    <xf numFmtId="176" fontId="8" fillId="0" borderId="27" xfId="0" applyFont="true" applyBorder="true" applyAlignment="false" applyProtection="true">
      <alignment horizontal="general" vertical="bottom" textRotation="0" wrapText="false" indent="0" shrinkToFit="false"/>
      <protection locked="false" hidden="false"/>
    </xf>
    <xf numFmtId="176" fontId="0" fillId="0" borderId="27" xfId="0" applyFont="false" applyBorder="true" applyAlignment="false" applyProtection="false">
      <alignment horizontal="general" vertical="bottom" textRotation="0" wrapText="false" indent="0" shrinkToFit="false"/>
      <protection locked="true" hidden="false"/>
    </xf>
    <xf numFmtId="178" fontId="0" fillId="4" borderId="0" xfId="0" applyFont="false" applyBorder="false" applyAlignment="false" applyProtection="false">
      <alignment horizontal="general" vertical="bottom" textRotation="0" wrapText="false" indent="0" shrinkToFit="false"/>
      <protection locked="true" hidden="false"/>
    </xf>
    <xf numFmtId="178" fontId="8" fillId="4" borderId="0" xfId="0" applyFont="true" applyBorder="false" applyAlignment="false" applyProtection="false">
      <alignment horizontal="general" vertical="bottom" textRotation="0" wrapText="false" indent="0" shrinkToFit="false"/>
      <protection locked="true" hidden="false"/>
    </xf>
    <xf numFmtId="176" fontId="0" fillId="4" borderId="0" xfId="0" applyFont="false" applyBorder="false" applyAlignment="false" applyProtection="false">
      <alignment horizontal="general" vertical="bottom" textRotation="0" wrapText="false" indent="0" shrinkToFit="false"/>
      <protection locked="true" hidden="false"/>
    </xf>
    <xf numFmtId="176" fontId="0" fillId="6" borderId="0" xfId="0" applyFont="false" applyBorder="false" applyAlignment="false" applyProtection="false">
      <alignment horizontal="general" vertical="bottom" textRotation="0" wrapText="false" indent="0" shrinkToFit="false"/>
      <protection locked="true" hidden="false"/>
    </xf>
    <xf numFmtId="171" fontId="10" fillId="4"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true">
      <alignment horizontal="general" vertical="bottom" textRotation="0" wrapText="false" indent="0" shrinkToFit="false"/>
      <protection locked="false" hidden="false"/>
    </xf>
    <xf numFmtId="176" fontId="20" fillId="0" borderId="0" xfId="0" applyFont="true" applyBorder="false" applyAlignment="false" applyProtection="true">
      <alignment horizontal="general" vertical="bottom" textRotation="0" wrapText="false" indent="0" shrinkToFit="false"/>
      <protection locked="false" hidden="false"/>
    </xf>
    <xf numFmtId="176" fontId="0" fillId="0" borderId="0" xfId="0" applyFont="false" applyBorder="false" applyAlignment="true" applyProtection="true">
      <alignment horizontal="center" vertical="bottom" textRotation="0" wrapText="false" indent="0" shrinkToFit="false"/>
      <protection locked="false" hidden="false"/>
    </xf>
    <xf numFmtId="176" fontId="0" fillId="0" borderId="0" xfId="0" applyFont="false" applyBorder="false" applyAlignment="false" applyProtection="true">
      <alignment horizontal="general" vertical="bottom" textRotation="0" wrapText="false" indent="0" shrinkToFit="false"/>
      <protection locked="false" hidden="false"/>
    </xf>
    <xf numFmtId="165" fontId="25" fillId="0" borderId="0" xfId="0" applyFont="true" applyBorder="false" applyAlignment="false" applyProtection="true">
      <alignment horizontal="general" vertical="bottom" textRotation="0" wrapText="false" indent="0" shrinkToFit="false"/>
      <protection locked="false" hidden="false"/>
    </xf>
    <xf numFmtId="176" fontId="25" fillId="0" borderId="0" xfId="0" applyFont="true" applyBorder="false" applyAlignment="false" applyProtection="true">
      <alignment horizontal="general" vertical="bottom" textRotation="0" wrapText="false" indent="0" shrinkToFit="false"/>
      <protection locked="false" hidden="false"/>
    </xf>
    <xf numFmtId="176" fontId="21" fillId="4" borderId="0" xfId="0" applyFont="true" applyBorder="false" applyAlignment="false" applyProtection="true">
      <alignment horizontal="general" vertical="bottom" textRotation="0" wrapText="false" indent="0" shrinkToFit="false"/>
      <protection locked="false" hidden="false"/>
    </xf>
    <xf numFmtId="179" fontId="21" fillId="4" borderId="0" xfId="0" applyFont="true" applyBorder="false" applyAlignment="false" applyProtection="true">
      <alignment horizontal="general" vertical="bottom" textRotation="0" wrapText="false" indent="0" shrinkToFit="false"/>
      <protection locked="false" hidden="false"/>
    </xf>
    <xf numFmtId="164" fontId="9" fillId="0" borderId="28" xfId="0" applyFont="true" applyBorder="true" applyAlignment="false" applyProtection="true">
      <alignment horizontal="general" vertical="bottom" textRotation="0" wrapText="false" indent="0" shrinkToFit="false"/>
      <protection locked="false" hidden="false"/>
    </xf>
    <xf numFmtId="164" fontId="8" fillId="0" borderId="28" xfId="0" applyFont="true" applyBorder="true" applyAlignment="false" applyProtection="true">
      <alignment horizontal="general" vertical="bottom" textRotation="0" wrapText="false" indent="0" shrinkToFit="false"/>
      <protection locked="false" hidden="false"/>
    </xf>
    <xf numFmtId="176" fontId="8" fillId="0" borderId="28" xfId="0" applyFont="true" applyBorder="true" applyAlignment="false" applyProtection="true">
      <alignment horizontal="general" vertical="bottom" textRotation="0" wrapText="false" indent="0" shrinkToFit="false"/>
      <protection locked="false" hidden="false"/>
    </xf>
    <xf numFmtId="176" fontId="8" fillId="0" borderId="28" xfId="0" applyFont="true" applyBorder="true" applyAlignment="true" applyProtection="true">
      <alignment horizontal="center" vertical="bottom" textRotation="0" wrapText="false" indent="0" shrinkToFit="false"/>
      <protection locked="false" hidden="false"/>
    </xf>
    <xf numFmtId="179" fontId="10" fillId="0" borderId="28" xfId="17" applyFont="true" applyBorder="true" applyAlignment="true" applyProtection="true">
      <alignment horizontal="general" vertical="bottom" textRotation="0" wrapText="false" indent="0" shrinkToFit="false"/>
      <protection locked="true" hidden="false"/>
    </xf>
    <xf numFmtId="176" fontId="10" fillId="0" borderId="28" xfId="0" applyFont="true" applyBorder="true" applyAlignment="false" applyProtection="false">
      <alignment horizontal="general" vertical="bottom" textRotation="0" wrapText="false" indent="0" shrinkToFit="false"/>
      <protection locked="true" hidden="false"/>
    </xf>
    <xf numFmtId="179" fontId="0" fillId="6" borderId="0" xfId="0" applyFont="false" applyBorder="false" applyAlignment="false" applyProtection="false">
      <alignment horizontal="general" vertical="bottom" textRotation="0" wrapText="false" indent="0" shrinkToFit="false"/>
      <protection locked="true" hidden="false"/>
    </xf>
    <xf numFmtId="178" fontId="0" fillId="6" borderId="0" xfId="0" applyFont="false" applyBorder="false" applyAlignment="false" applyProtection="false">
      <alignment horizontal="general" vertical="bottom" textRotation="0" wrapText="false" indent="0" shrinkToFit="false"/>
      <protection locked="true" hidden="false"/>
    </xf>
    <xf numFmtId="171" fontId="0" fillId="6" borderId="0" xfId="0" applyFont="false" applyBorder="false" applyAlignment="false" applyProtection="false">
      <alignment horizontal="general" vertical="bottom" textRotation="0" wrapText="false" indent="0" shrinkToFit="false"/>
      <protection locked="true" hidden="false"/>
    </xf>
    <xf numFmtId="171" fontId="11" fillId="6" borderId="0" xfId="0" applyFont="true" applyBorder="false" applyAlignment="false" applyProtection="false">
      <alignment horizontal="general" vertical="bottom" textRotation="0" wrapText="false" indent="0" shrinkToFit="false"/>
      <protection locked="true" hidden="false"/>
    </xf>
    <xf numFmtId="164" fontId="9" fillId="5" borderId="29" xfId="0" applyFont="true" applyBorder="true" applyAlignment="false" applyProtection="false">
      <alignment horizontal="general" vertical="bottom" textRotation="0" wrapText="false" indent="0" shrinkToFit="false"/>
      <protection locked="true" hidden="false"/>
    </xf>
    <xf numFmtId="164" fontId="8" fillId="5" borderId="30" xfId="0" applyFont="true" applyBorder="true" applyAlignment="false" applyProtection="false">
      <alignment horizontal="general" vertical="bottom" textRotation="0" wrapText="false" indent="0" shrinkToFit="false"/>
      <protection locked="true" hidden="false"/>
    </xf>
    <xf numFmtId="176" fontId="8" fillId="5" borderId="30" xfId="0" applyFont="true" applyBorder="true" applyAlignment="false" applyProtection="false">
      <alignment horizontal="general" vertical="bottom" textRotation="0" wrapText="false" indent="0" shrinkToFit="false"/>
      <protection locked="true" hidden="false"/>
    </xf>
    <xf numFmtId="178" fontId="0" fillId="5" borderId="30" xfId="0" applyFont="false" applyBorder="true" applyAlignment="true" applyProtection="false">
      <alignment horizontal="center" vertical="bottom" textRotation="0" wrapText="false" indent="0" shrinkToFit="false"/>
      <protection locked="true" hidden="false"/>
    </xf>
    <xf numFmtId="181" fontId="0" fillId="5" borderId="30" xfId="0" applyFont="false" applyBorder="true" applyAlignment="false" applyProtection="false">
      <alignment horizontal="general" vertical="bottom" textRotation="0" wrapText="false" indent="0" shrinkToFit="false"/>
      <protection locked="true" hidden="false"/>
    </xf>
    <xf numFmtId="176" fontId="0" fillId="5" borderId="31" xfId="0" applyFont="false" applyBorder="true" applyAlignment="true" applyProtection="false">
      <alignment horizontal="center" vertical="bottom" textRotation="0" wrapText="false" indent="0" shrinkToFit="false"/>
      <protection locked="true" hidden="false"/>
    </xf>
    <xf numFmtId="164" fontId="7" fillId="0" borderId="32" xfId="0" applyFont="true" applyBorder="true" applyAlignment="false" applyProtection="false">
      <alignment horizontal="general" vertical="bottom" textRotation="0" wrapText="false" indent="0" shrinkToFit="false"/>
      <protection locked="true" hidden="false"/>
    </xf>
    <xf numFmtId="164" fontId="8" fillId="0" borderId="32" xfId="0" applyFont="true" applyBorder="true" applyAlignment="false" applyProtection="false">
      <alignment horizontal="general" vertical="bottom" textRotation="0" wrapText="false" indent="0" shrinkToFit="false"/>
      <protection locked="true" hidden="false"/>
    </xf>
    <xf numFmtId="176" fontId="8" fillId="0" borderId="32" xfId="0" applyFont="true" applyBorder="true" applyAlignment="false" applyProtection="false">
      <alignment horizontal="general" vertical="bottom" textRotation="0" wrapText="false" indent="0" shrinkToFit="false"/>
      <protection locked="true" hidden="false"/>
    </xf>
    <xf numFmtId="178" fontId="0" fillId="0" borderId="32" xfId="0" applyFont="false" applyBorder="true" applyAlignment="true" applyProtection="false">
      <alignment horizontal="center" vertical="bottom" textRotation="0" wrapText="false" indent="0" shrinkToFit="false"/>
      <protection locked="true" hidden="false"/>
    </xf>
    <xf numFmtId="179" fontId="0" fillId="0" borderId="32" xfId="0" applyFont="false" applyBorder="true" applyAlignment="false" applyProtection="false">
      <alignment horizontal="general" vertical="bottom" textRotation="0" wrapText="false" indent="0" shrinkToFit="false"/>
      <protection locked="true" hidden="false"/>
    </xf>
    <xf numFmtId="176" fontId="0" fillId="0" borderId="32" xfId="0" applyFont="false" applyBorder="true" applyAlignment="false" applyProtection="false">
      <alignment horizontal="general" vertical="bottom" textRotation="0" wrapText="false" indent="0" shrinkToFit="false"/>
      <protection locked="true" hidden="false"/>
    </xf>
    <xf numFmtId="177" fontId="0" fillId="0" borderId="0" xfId="0" applyFont="false" applyBorder="false" applyAlignment="true" applyProtection="true">
      <alignment horizontal="right" vertical="bottom" textRotation="0" wrapText="false" indent="0" shrinkToFit="false"/>
      <protection locked="false" hidden="false"/>
    </xf>
    <xf numFmtId="164" fontId="10" fillId="0" borderId="33" xfId="0" applyFont="true" applyBorder="true" applyAlignment="false" applyProtection="false">
      <alignment horizontal="general" vertical="bottom" textRotation="0" wrapText="false" indent="0" shrinkToFit="false"/>
      <protection locked="true" hidden="false"/>
    </xf>
    <xf numFmtId="164" fontId="8" fillId="0" borderId="33" xfId="0" applyFont="true" applyBorder="true" applyAlignment="false" applyProtection="false">
      <alignment horizontal="general" vertical="bottom" textRotation="0" wrapText="false" indent="0" shrinkToFit="false"/>
      <protection locked="true" hidden="false"/>
    </xf>
    <xf numFmtId="164" fontId="0" fillId="0" borderId="33" xfId="0" applyFont="false" applyBorder="true" applyAlignment="true" applyProtection="false">
      <alignment horizontal="center" vertical="bottom" textRotation="0" wrapText="false" indent="0" shrinkToFit="false"/>
      <protection locked="true" hidden="false"/>
    </xf>
    <xf numFmtId="164" fontId="0" fillId="0" borderId="33" xfId="0" applyFont="false" applyBorder="true" applyAlignment="false" applyProtection="false">
      <alignment horizontal="general" vertical="bottom" textRotation="0" wrapText="false" indent="0" shrinkToFit="false"/>
      <protection locked="true" hidden="false"/>
    </xf>
    <xf numFmtId="179" fontId="11" fillId="0" borderId="33" xfId="0" applyFont="true" applyBorder="tru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center" vertical="bottom" textRotation="0" wrapText="false" indent="0" shrinkToFit="false"/>
      <protection locked="false" hidden="false"/>
    </xf>
    <xf numFmtId="164" fontId="26" fillId="0" borderId="0" xfId="0" applyFont="true" applyBorder="false" applyAlignment="true" applyProtection="false">
      <alignment horizontal="general" vertical="center" textRotation="0" wrapText="false" indent="0" shrinkToFit="false"/>
      <protection locked="true" hidden="false"/>
    </xf>
    <xf numFmtId="164" fontId="26" fillId="0" borderId="0" xfId="0" applyFont="true" applyBorder="true" applyAlignment="true" applyProtection="false">
      <alignment horizontal="center" vertical="bottom" textRotation="0" wrapText="false" indent="0" shrinkToFit="false"/>
      <protection locked="true" hidden="false"/>
    </xf>
    <xf numFmtId="164" fontId="27" fillId="0" borderId="0" xfId="0" applyFont="true" applyBorder="true" applyAlignment="true" applyProtection="false">
      <alignment horizontal="left" vertical="top" textRotation="0" wrapText="true" indent="0" shrinkToFit="false"/>
      <protection locked="true" hidden="false"/>
    </xf>
    <xf numFmtId="164" fontId="27" fillId="0" borderId="0" xfId="0" applyFont="true" applyBorder="false" applyAlignment="true" applyProtection="false">
      <alignment horizontal="left" vertical="bottom" textRotation="0" wrapText="false" indent="0" shrinkToFit="false"/>
      <protection locked="true" hidden="false"/>
    </xf>
    <xf numFmtId="164" fontId="28" fillId="0" borderId="0" xfId="0" applyFont="true" applyBorder="true" applyAlignment="true" applyProtection="true">
      <alignment horizontal="left" vertical="bottom" textRotation="0" wrapText="false" indent="0" shrinkToFit="false"/>
      <protection locked="false" hidden="false"/>
    </xf>
    <xf numFmtId="164" fontId="28" fillId="0" borderId="0" xfId="0" applyFont="true" applyBorder="false" applyAlignment="true" applyProtection="false">
      <alignment horizontal="left" vertical="bottom" textRotation="0" wrapText="false" indent="0" shrinkToFit="false"/>
      <protection locked="true" hidden="false"/>
    </xf>
    <xf numFmtId="164" fontId="28" fillId="0" borderId="34" xfId="0" applyFont="true" applyBorder="true" applyAlignment="false" applyProtection="true">
      <alignment horizontal="general" vertical="bottom" textRotation="0" wrapText="false" indent="0" shrinkToFit="false"/>
      <protection locked="fals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true" applyAlignment="true" applyProtection="false">
      <alignment horizontal="center" vertical="bottom" textRotation="0" wrapText="false" indent="0" shrinkToFit="false"/>
      <protection locked="true" hidden="false"/>
    </xf>
    <xf numFmtId="164" fontId="28" fillId="0" borderId="34" xfId="0" applyFont="true" applyBorder="true" applyAlignment="true" applyProtection="true">
      <alignment horizontal="center" vertical="bottom" textRotation="0" wrapText="false" indent="0" shrinkToFit="false"/>
      <protection locked="false" hidden="false"/>
    </xf>
    <xf numFmtId="164" fontId="28" fillId="0" borderId="34" xfId="0" applyFont="true" applyBorder="true" applyAlignment="true" applyProtection="true">
      <alignment horizontal="left" vertical="bottom" textRotation="0" wrapText="false" indent="0" shrinkToFit="false"/>
      <protection locked="false" hidden="false"/>
    </xf>
    <xf numFmtId="164" fontId="28" fillId="0" borderId="0" xfId="0" applyFont="true" applyBorder="false" applyAlignment="true" applyProtection="false">
      <alignment horizontal="left" vertical="center"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0" fillId="0" borderId="34" xfId="0" applyFont="false" applyBorder="true" applyAlignment="false" applyProtection="true">
      <alignment horizontal="general" vertical="bottom" textRotation="0" wrapText="false" indent="0" shrinkToFit="false"/>
      <protection locked="false" hidden="false"/>
    </xf>
    <xf numFmtId="164" fontId="28" fillId="0" borderId="34" xfId="0" applyFont="true" applyBorder="true" applyAlignment="true" applyProtection="true">
      <alignment horizontal="center" vertical="center" textRotation="0" wrapText="false" indent="0" shrinkToFit="false"/>
      <protection locked="false" hidden="false"/>
    </xf>
    <xf numFmtId="164" fontId="27" fillId="0" borderId="0" xfId="0" applyFont="true" applyBorder="false" applyAlignment="true" applyProtection="false">
      <alignment horizontal="left" vertical="center" textRotation="0" wrapText="false" indent="0" shrinkToFit="false"/>
      <protection locked="true" hidden="false"/>
    </xf>
    <xf numFmtId="164" fontId="28" fillId="0" borderId="0" xfId="0" applyFont="true" applyBorder="true" applyAlignment="true" applyProtection="false">
      <alignment horizontal="left" vertical="top" textRotation="0" wrapText="true" indent="0" shrinkToFit="false"/>
      <protection locked="true" hidden="false"/>
    </xf>
    <xf numFmtId="164" fontId="28" fillId="0" borderId="0" xfId="0" applyFont="true" applyBorder="false" applyAlignment="true" applyProtection="false">
      <alignment horizontal="left" vertical="top" textRotation="0" wrapText="tru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4" fontId="28" fillId="0" borderId="0" xfId="0" applyFont="true" applyBorder="false" applyAlignment="true" applyProtection="false">
      <alignment horizontal="general" vertical="top" textRotation="0" wrapText="false" indent="0" shrinkToFit="false"/>
      <protection locked="true" hidden="false"/>
    </xf>
    <xf numFmtId="164" fontId="28" fillId="0" borderId="0" xfId="0" applyFont="true" applyBorder="false" applyAlignment="true" applyProtection="false">
      <alignment horizontal="left" vertical="center" textRotation="0" wrapText="tru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4" fontId="30" fillId="0" borderId="3" xfId="0" applyFont="true" applyBorder="true" applyAlignment="true" applyProtection="false">
      <alignment horizontal="general" vertical="center"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31" fillId="0" borderId="4" xfId="0" applyFont="true" applyBorder="tru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10" fillId="0" borderId="35" xfId="0" applyFont="true" applyBorder="true" applyAlignment="true" applyProtection="false">
      <alignment horizontal="center" vertical="center" textRotation="0" wrapText="false" indent="0" shrinkToFit="false"/>
      <protection locked="true" hidden="false"/>
    </xf>
    <xf numFmtId="164" fontId="32" fillId="0" borderId="36" xfId="0" applyFont="true" applyBorder="true" applyAlignment="true" applyProtection="false">
      <alignment horizontal="center" vertical="bottom" textRotation="0" wrapText="false" indent="0" shrinkToFit="false"/>
      <protection locked="true" hidden="false"/>
    </xf>
    <xf numFmtId="164" fontId="0" fillId="0" borderId="8" xfId="0" applyFont="false" applyBorder="true" applyAlignment="true" applyProtection="false">
      <alignment horizontal="left" vertical="bottom" textRotation="0" wrapText="false" indent="0" shrinkToFit="false"/>
      <protection locked="true" hidden="false"/>
    </xf>
    <xf numFmtId="164" fontId="31"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true" applyAlignment="true" applyProtection="false">
      <alignment horizontal="center" vertical="center" textRotation="0" wrapText="false" indent="0" shrinkToFit="false"/>
      <protection locked="true" hidden="false"/>
    </xf>
    <xf numFmtId="180" fontId="0" fillId="0" borderId="37" xfId="17" applyFont="true" applyBorder="true" applyAlignment="true" applyProtection="true">
      <alignment horizontal="center" vertical="center" textRotation="0" wrapText="false" indent="0" shrinkToFit="false"/>
      <protection locked="true" hidden="false"/>
    </xf>
    <xf numFmtId="170" fontId="0" fillId="0" borderId="38" xfId="0" applyFont="true" applyBorder="true" applyAlignment="true" applyProtection="false">
      <alignment horizontal="center" vertical="center" textRotation="0" wrapText="false" indent="0" shrinkToFit="false"/>
      <protection locked="true" hidden="false"/>
    </xf>
    <xf numFmtId="170" fontId="0" fillId="0" borderId="39" xfId="0" applyFont="true" applyBorder="true" applyAlignment="true" applyProtection="false">
      <alignment horizontal="center" vertical="center" textRotation="0" wrapText="false" indent="0" shrinkToFit="false"/>
      <protection locked="true" hidden="false"/>
    </xf>
    <xf numFmtId="164" fontId="0" fillId="0" borderId="39" xfId="0" applyFont="true" applyBorder="true" applyAlignment="true" applyProtection="false">
      <alignment horizontal="center" vertical="center"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5" xfId="0" applyFont="true" applyBorder="true" applyAlignment="true" applyProtection="false">
      <alignment horizontal="left" vertical="bottom" textRotation="0" wrapText="false" indent="0" shrinkToFit="false"/>
      <protection locked="true" hidden="false"/>
    </xf>
    <xf numFmtId="164" fontId="0" fillId="0" borderId="5" xfId="0" applyFont="true" applyBorder="true" applyAlignment="true" applyProtection="false">
      <alignment horizontal="center"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4" fillId="0" borderId="8" xfId="0" applyFont="true" applyBorder="true" applyAlignment="true" applyProtection="false">
      <alignment horizontal="general" vertical="center" textRotation="0" wrapText="true" indent="0" shrinkToFit="false"/>
      <protection locked="true" hidden="false"/>
    </xf>
    <xf numFmtId="164" fontId="0" fillId="0" borderId="36" xfId="0" applyFont="true" applyBorder="true" applyAlignment="true" applyProtection="false">
      <alignment horizontal="left" vertical="top" textRotation="0" wrapText="true" indent="0" shrinkToFit="false"/>
      <protection locked="true" hidden="false"/>
    </xf>
    <xf numFmtId="164" fontId="33" fillId="0" borderId="25" xfId="0" applyFont="true" applyBorder="true" applyAlignment="true" applyProtection="false">
      <alignment horizontal="right" vertical="bottom" textRotation="90" wrapText="false" indent="0" shrinkToFit="false"/>
      <protection locked="true" hidden="false"/>
    </xf>
    <xf numFmtId="164" fontId="33" fillId="0" borderId="24" xfId="0" applyFont="true" applyBorder="true" applyAlignment="true" applyProtection="false">
      <alignment horizontal="right" vertical="bottom" textRotation="90" wrapText="false" indent="0" shrinkToFit="false"/>
      <protection locked="true" hidden="false"/>
    </xf>
    <xf numFmtId="164" fontId="34" fillId="0" borderId="40" xfId="0" applyFont="true" applyBorder="true" applyAlignment="true" applyProtection="false">
      <alignment horizontal="right" vertical="bottom" textRotation="90" wrapText="false" indent="0" shrinkToFit="false"/>
      <protection locked="true" hidden="false"/>
    </xf>
    <xf numFmtId="164" fontId="35" fillId="0" borderId="40" xfId="0" applyFont="true" applyBorder="true" applyAlignment="true" applyProtection="false">
      <alignment horizontal="right" vertical="bottom" textRotation="90" wrapText="false" indent="0" shrinkToFit="false"/>
      <protection locked="true" hidden="false"/>
    </xf>
    <xf numFmtId="164" fontId="33" fillId="0" borderId="41" xfId="0" applyFont="true" applyBorder="true" applyAlignment="true" applyProtection="false">
      <alignment horizontal="right" vertical="bottom" textRotation="90" wrapText="false" indent="0" shrinkToFit="false"/>
      <protection locked="true" hidden="false"/>
    </xf>
    <xf numFmtId="164" fontId="33" fillId="0" borderId="22" xfId="0" applyFont="true" applyBorder="true" applyAlignment="true" applyProtection="false">
      <alignment horizontal="right" vertical="bottom" textRotation="90" wrapText="false" indent="0" shrinkToFit="false"/>
      <protection locked="true" hidden="false"/>
    </xf>
    <xf numFmtId="164" fontId="33" fillId="0" borderId="23" xfId="0" applyFont="true" applyBorder="true" applyAlignment="true" applyProtection="false">
      <alignment horizontal="right" vertical="bottom" textRotation="90" wrapText="false" indent="0" shrinkToFit="false"/>
      <protection locked="true" hidden="false"/>
    </xf>
    <xf numFmtId="164" fontId="36" fillId="0" borderId="23" xfId="0" applyFont="true" applyBorder="true" applyAlignment="true" applyProtection="false">
      <alignment horizontal="right" vertical="bottom" textRotation="90" wrapText="false" indent="0" shrinkToFit="false"/>
      <protection locked="true" hidden="false"/>
    </xf>
    <xf numFmtId="164" fontId="34" fillId="0" borderId="24" xfId="0" applyFont="true" applyBorder="true" applyAlignment="true" applyProtection="false">
      <alignment horizontal="right" vertical="bottom" textRotation="90" wrapText="false" indent="0" shrinkToFit="false"/>
      <protection locked="true" hidden="false"/>
    </xf>
    <xf numFmtId="164" fontId="33" fillId="0" borderId="40" xfId="0" applyFont="true" applyBorder="true" applyAlignment="true" applyProtection="false">
      <alignment horizontal="right" vertical="bottom" textRotation="90" wrapText="false" indent="0" shrinkToFit="false"/>
      <protection locked="true" hidden="false"/>
    </xf>
    <xf numFmtId="164" fontId="37" fillId="0" borderId="23" xfId="0" applyFont="true" applyBorder="true" applyAlignment="true" applyProtection="false">
      <alignment horizontal="right" vertical="bottom" textRotation="90" wrapText="false" indent="0" shrinkToFit="false"/>
      <protection locked="true" hidden="false"/>
    </xf>
    <xf numFmtId="164" fontId="38" fillId="0" borderId="23" xfId="0" applyFont="true" applyBorder="true" applyAlignment="true" applyProtection="false">
      <alignment horizontal="right" vertical="bottom" textRotation="90" wrapText="false" indent="0" shrinkToFit="false"/>
      <protection locked="true" hidden="false"/>
    </xf>
    <xf numFmtId="164" fontId="33" fillId="0" borderId="42" xfId="0" applyFont="true" applyBorder="true" applyAlignment="true" applyProtection="false">
      <alignment horizontal="right" vertical="bottom" textRotation="90" wrapText="false" indent="0" shrinkToFit="false"/>
      <protection locked="true" hidden="false"/>
    </xf>
    <xf numFmtId="164" fontId="34" fillId="0" borderId="23" xfId="0" applyFont="true" applyBorder="true" applyAlignment="true" applyProtection="false">
      <alignment horizontal="right" vertical="bottom" textRotation="90" wrapText="false" indent="0" shrinkToFit="false"/>
      <protection locked="true" hidden="false"/>
    </xf>
    <xf numFmtId="164" fontId="39" fillId="0" borderId="25" xfId="0" applyFont="true" applyBorder="true" applyAlignment="true" applyProtection="false">
      <alignment horizontal="right" vertical="bottom" textRotation="90" wrapText="false" indent="0" shrinkToFit="false"/>
      <protection locked="true" hidden="false"/>
    </xf>
    <xf numFmtId="164" fontId="34" fillId="0" borderId="30" xfId="0" applyFont="true" applyBorder="true" applyAlignment="true" applyProtection="false">
      <alignment horizontal="right" vertical="bottom" textRotation="90" wrapText="false" indent="0" shrinkToFit="false"/>
      <protection locked="true" hidden="false"/>
    </xf>
    <xf numFmtId="164" fontId="40" fillId="0" borderId="25" xfId="0" applyFont="true" applyBorder="true" applyAlignment="true" applyProtection="false">
      <alignment horizontal="right" vertical="bottom" textRotation="90" wrapText="false" indent="0" shrinkToFit="false"/>
      <protection locked="true" hidden="false"/>
    </xf>
    <xf numFmtId="164" fontId="41" fillId="0" borderId="24" xfId="0" applyFont="true" applyBorder="true" applyAlignment="true" applyProtection="false">
      <alignment horizontal="right" vertical="bottom" textRotation="90" wrapText="false" indent="0" shrinkToFit="false"/>
      <protection locked="true" hidden="false"/>
    </xf>
    <xf numFmtId="164" fontId="33" fillId="0" borderId="12" xfId="0" applyFont="true" applyBorder="true" applyAlignment="true" applyProtection="false">
      <alignment horizontal="right" vertical="bottom" textRotation="90" wrapText="false" indent="0" shrinkToFit="false"/>
      <protection locked="true" hidden="false"/>
    </xf>
    <xf numFmtId="164" fontId="41" fillId="0" borderId="23" xfId="0" applyFont="true" applyBorder="true" applyAlignment="true" applyProtection="false">
      <alignment horizontal="right" vertical="bottom" textRotation="90" wrapText="false" indent="0" shrinkToFit="false"/>
      <protection locked="true" hidden="false"/>
    </xf>
    <xf numFmtId="164" fontId="33" fillId="0" borderId="43" xfId="0" applyFont="true" applyBorder="true" applyAlignment="true" applyProtection="false">
      <alignment horizontal="right" vertical="bottom" textRotation="90" wrapText="false" indent="0" shrinkToFit="false"/>
      <protection locked="true" hidden="false"/>
    </xf>
    <xf numFmtId="164" fontId="33" fillId="0" borderId="14" xfId="0" applyFont="true" applyBorder="true" applyAlignment="true" applyProtection="false">
      <alignment horizontal="right" vertical="bottom" textRotation="90" wrapText="false" indent="0" shrinkToFit="false"/>
      <protection locked="true" hidden="false"/>
    </xf>
    <xf numFmtId="164" fontId="0" fillId="0" borderId="0" xfId="0" applyFont="false" applyBorder="false" applyAlignment="true" applyProtection="false">
      <alignment horizontal="right" vertical="bottom" textRotation="90" wrapText="false" indent="0" shrinkToFit="false"/>
      <protection locked="true" hidden="false"/>
    </xf>
    <xf numFmtId="164" fontId="42" fillId="0" borderId="11" xfId="0" applyFont="true" applyBorder="true" applyAlignment="true" applyProtection="false">
      <alignment horizontal="general" vertical="center" textRotation="0" wrapText="tru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33" fillId="0" borderId="43" xfId="0" applyFont="true" applyBorder="true" applyAlignment="false" applyProtection="false">
      <alignment horizontal="general" vertical="bottom" textRotation="0" wrapText="false" indent="0" shrinkToFit="false"/>
      <protection locked="true" hidden="false"/>
    </xf>
    <xf numFmtId="164" fontId="33" fillId="0" borderId="44" xfId="0" applyFont="true" applyBorder="true" applyAlignment="false" applyProtection="false">
      <alignment horizontal="general" vertical="bottom" textRotation="0" wrapText="false" indent="0" shrinkToFit="false"/>
      <protection locked="true" hidden="false"/>
    </xf>
    <xf numFmtId="164" fontId="33" fillId="0" borderId="40" xfId="0" applyFont="true" applyBorder="true" applyAlignment="false" applyProtection="false">
      <alignment horizontal="general" vertical="bottom" textRotation="0" wrapText="false" indent="0" shrinkToFit="false"/>
      <protection locked="true" hidden="false"/>
    </xf>
    <xf numFmtId="164" fontId="39" fillId="0" borderId="40" xfId="0" applyFont="true" applyBorder="true" applyAlignment="true" applyProtection="false">
      <alignment horizontal="center" vertical="center" textRotation="0" wrapText="false" indent="0" shrinkToFit="false"/>
      <protection locked="true" hidden="false"/>
    </xf>
    <xf numFmtId="164" fontId="33" fillId="0" borderId="45" xfId="0" applyFont="true" applyBorder="true" applyAlignment="false" applyProtection="false">
      <alignment horizontal="general" vertical="bottom" textRotation="0" wrapText="false" indent="0" shrinkToFit="false"/>
      <protection locked="true" hidden="false"/>
    </xf>
    <xf numFmtId="164" fontId="33" fillId="0" borderId="43" xfId="0" applyFont="true" applyBorder="true" applyAlignment="true" applyProtection="false">
      <alignment horizontal="center" vertical="center" textRotation="0" wrapText="false" indent="0" shrinkToFit="false"/>
      <protection locked="true" hidden="false"/>
    </xf>
    <xf numFmtId="164" fontId="33" fillId="0" borderId="40" xfId="0" applyFont="true" applyBorder="true" applyAlignment="true" applyProtection="false">
      <alignment horizontal="center" vertical="center" textRotation="0" wrapText="false" indent="0" shrinkToFit="false"/>
      <protection locked="true" hidden="false"/>
    </xf>
    <xf numFmtId="164" fontId="34" fillId="0" borderId="40" xfId="0" applyFont="true" applyBorder="true" applyAlignment="true" applyProtection="false">
      <alignment horizontal="center" vertical="center" textRotation="0" wrapText="false" indent="0" shrinkToFit="false"/>
      <protection locked="true" hidden="false"/>
    </xf>
    <xf numFmtId="164" fontId="33" fillId="0" borderId="45" xfId="0" applyFont="true" applyBorder="true" applyAlignment="true" applyProtection="false">
      <alignment horizontal="center" vertical="center" textRotation="0" wrapText="false" indent="0" shrinkToFit="false"/>
      <protection locked="true" hidden="false"/>
    </xf>
    <xf numFmtId="164" fontId="0" fillId="0" borderId="43" xfId="0" applyFont="true" applyBorder="true" applyAlignment="true" applyProtection="false">
      <alignment horizontal="left"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4" xfId="0" applyFont="false" applyBorder="true" applyAlignment="false" applyProtection="false">
      <alignment horizontal="general" vertical="bottom" textRotation="0" wrapText="false" indent="0" shrinkToFit="false"/>
      <protection locked="true" hidden="false"/>
    </xf>
    <xf numFmtId="164" fontId="0" fillId="0" borderId="41" xfId="0" applyFont="false" applyBorder="true" applyAlignment="false" applyProtection="false">
      <alignment horizontal="general" vertical="bottom" textRotation="0" wrapText="false" indent="0" shrinkToFit="false"/>
      <protection locked="true" hidden="false"/>
    </xf>
    <xf numFmtId="164" fontId="43" fillId="0" borderId="46" xfId="0" applyFont="true" applyBorder="true" applyAlignment="true" applyProtection="false">
      <alignment horizontal="left" vertical="center" textRotation="0" wrapText="false" indent="0" shrinkToFit="false"/>
      <protection locked="true" hidden="false"/>
    </xf>
    <xf numFmtId="164" fontId="4" fillId="0" borderId="47" xfId="0" applyFont="true" applyBorder="true" applyAlignment="false" applyProtection="false">
      <alignment horizontal="general" vertical="bottom" textRotation="0" wrapText="false" indent="0" shrinkToFit="false"/>
      <protection locked="true" hidden="false"/>
    </xf>
    <xf numFmtId="164" fontId="4" fillId="0" borderId="48" xfId="0" applyFont="true" applyBorder="true" applyAlignment="false" applyProtection="false">
      <alignment horizontal="general" vertical="bottom" textRotation="0" wrapText="false" indent="0" shrinkToFit="false"/>
      <protection locked="true" hidden="false"/>
    </xf>
    <xf numFmtId="164" fontId="31" fillId="0" borderId="1" xfId="0" applyFont="true" applyBorder="true" applyAlignment="true" applyProtection="false">
      <alignment horizontal="center" vertical="center" textRotation="90" wrapText="false" indent="0" shrinkToFit="false"/>
      <protection locked="true" hidden="false"/>
    </xf>
    <xf numFmtId="164" fontId="0" fillId="0" borderId="47" xfId="0" applyFont="false" applyBorder="true" applyAlignment="false" applyProtection="false">
      <alignment horizontal="general" vertical="bottom" textRotation="0" wrapText="false" indent="0" shrinkToFit="false"/>
      <protection locked="true" hidden="false"/>
    </xf>
    <xf numFmtId="164" fontId="4" fillId="0" borderId="49" xfId="0" applyFont="true" applyBorder="true" applyAlignment="false" applyProtection="false">
      <alignment horizontal="general" vertical="bottom" textRotation="0" wrapText="false" indent="0" shrinkToFit="false"/>
      <protection locked="true" hidden="false"/>
    </xf>
    <xf numFmtId="164" fontId="43" fillId="0" borderId="50" xfId="0" applyFont="true" applyBorder="true" applyAlignment="true" applyProtection="false">
      <alignment horizontal="left" vertical="center" textRotation="0" wrapText="false" indent="0" shrinkToFit="false"/>
      <protection locked="true" hidden="false"/>
    </xf>
    <xf numFmtId="164" fontId="31" fillId="0" borderId="51" xfId="0" applyFont="true" applyBorder="true" applyAlignment="true" applyProtection="false">
      <alignment horizontal="center" vertical="center" textRotation="90" wrapText="false" indent="0" shrinkToFit="false"/>
      <protection locked="true" hidden="false"/>
    </xf>
    <xf numFmtId="164" fontId="31" fillId="0" borderId="52" xfId="0" applyFont="true" applyBorder="true" applyAlignment="true" applyProtection="false">
      <alignment horizontal="center" vertical="center" textRotation="90" wrapText="false" indent="0" shrinkToFit="false"/>
      <protection locked="true" hidden="false"/>
    </xf>
    <xf numFmtId="164" fontId="44" fillId="0" borderId="53" xfId="0" applyFont="true" applyBorder="true" applyAlignment="true" applyProtection="false">
      <alignment horizontal="general" vertical="center" textRotation="0" wrapText="false" indent="0" shrinkToFit="false"/>
      <protection locked="true" hidden="false"/>
    </xf>
    <xf numFmtId="164" fontId="31" fillId="0" borderId="1" xfId="0" applyFont="true" applyBorder="true" applyAlignment="true" applyProtection="false">
      <alignment horizontal="left" vertical="center" textRotation="0" wrapText="false" indent="0" shrinkToFit="false"/>
      <protection locked="true" hidden="false"/>
    </xf>
    <xf numFmtId="164" fontId="31" fillId="0" borderId="1" xfId="0" applyFont="true" applyBorder="true" applyAlignment="true" applyProtection="false">
      <alignment horizontal="center" vertical="bottom" textRotation="90" wrapText="false" indent="0" shrinkToFit="false"/>
      <protection locked="true" hidden="false"/>
    </xf>
    <xf numFmtId="164" fontId="31" fillId="0" borderId="52" xfId="0" applyFont="true" applyBorder="true" applyAlignment="true" applyProtection="false">
      <alignment horizontal="center" vertical="bottom" textRotation="90" wrapText="false" indent="0" shrinkToFit="false"/>
      <protection locked="true" hidden="false"/>
    </xf>
    <xf numFmtId="164" fontId="45" fillId="0" borderId="1" xfId="0" applyFont="true" applyBorder="true" applyAlignment="true" applyProtection="false">
      <alignment horizontal="left" vertical="center" textRotation="0" wrapText="false" indent="0" shrinkToFit="false"/>
      <protection locked="true" hidden="false"/>
    </xf>
    <xf numFmtId="164" fontId="45" fillId="0" borderId="53" xfId="0" applyFont="true" applyBorder="true" applyAlignment="true" applyProtection="false">
      <alignment horizontal="general" vertical="center" textRotation="0" wrapText="false" indent="0" shrinkToFit="false"/>
      <protection locked="true" hidden="false"/>
    </xf>
    <xf numFmtId="164" fontId="43" fillId="0" borderId="54" xfId="0" applyFont="true" applyBorder="true" applyAlignment="true" applyProtection="false">
      <alignment horizontal="left" vertical="center" textRotation="0" wrapText="false" indent="0" shrinkToFit="false"/>
      <protection locked="true" hidden="false"/>
    </xf>
    <xf numFmtId="164" fontId="43" fillId="0" borderId="51" xfId="0" applyFont="true" applyBorder="true" applyAlignment="true" applyProtection="false">
      <alignment horizontal="center" vertical="center" textRotation="0" wrapText="false" indent="0" shrinkToFit="false"/>
      <protection locked="true" hidden="false"/>
    </xf>
    <xf numFmtId="164" fontId="31" fillId="0" borderId="51" xfId="0" applyFont="true" applyBorder="true" applyAlignment="true" applyProtection="false">
      <alignment horizontal="center" vertical="bottom" textRotation="90" wrapText="false" indent="0" shrinkToFit="false"/>
      <protection locked="true" hidden="false"/>
    </xf>
    <xf numFmtId="164" fontId="43" fillId="0" borderId="55" xfId="0" applyFont="true" applyBorder="true" applyAlignment="true" applyProtection="false">
      <alignment horizontal="left" vertical="center" textRotation="0" wrapText="false" indent="0" shrinkToFit="false"/>
      <protection locked="true" hidden="false"/>
    </xf>
    <xf numFmtId="164" fontId="4" fillId="0" borderId="0" xfId="30" applyFont="true" applyBorder="false" applyAlignment="false" applyProtection="false">
      <alignment horizontal="general" vertical="bottom" textRotation="0" wrapText="false" indent="0" shrinkToFit="false"/>
      <protection locked="true" hidden="false"/>
    </xf>
    <xf numFmtId="164" fontId="4" fillId="0" borderId="0" xfId="30" applyFont="true" applyBorder="false" applyAlignment="true" applyProtection="false">
      <alignment horizontal="center" vertical="bottom" textRotation="0" wrapText="false" indent="0" shrinkToFit="false"/>
      <protection locked="true" hidden="false"/>
    </xf>
    <xf numFmtId="172" fontId="4" fillId="0" borderId="0" xfId="30" applyFont="true" applyBorder="false" applyAlignment="true" applyProtection="false">
      <alignment horizontal="center" vertical="bottom" textRotation="0" wrapText="false" indent="0" shrinkToFit="false"/>
      <protection locked="true" hidden="false"/>
    </xf>
    <xf numFmtId="164" fontId="46" fillId="0" borderId="0" xfId="30" applyFont="true" applyBorder="false" applyAlignment="true" applyProtection="false">
      <alignment horizontal="center" vertical="center" textRotation="0" wrapText="false" indent="0" shrinkToFit="false"/>
      <protection locked="true" hidden="false"/>
    </xf>
    <xf numFmtId="164" fontId="47" fillId="0" borderId="0" xfId="30" applyFont="true" applyBorder="false" applyAlignment="true" applyProtection="false">
      <alignment horizontal="center" vertical="center" textRotation="0" wrapText="false" indent="0" shrinkToFit="false"/>
      <protection locked="true" hidden="false"/>
    </xf>
    <xf numFmtId="182" fontId="9" fillId="0" borderId="5" xfId="0" applyFont="true" applyBorder="true" applyAlignment="true" applyProtection="false">
      <alignment horizontal="center" vertical="center" textRotation="0" wrapText="false" indent="0" shrinkToFit="false"/>
      <protection locked="true" hidden="false"/>
    </xf>
    <xf numFmtId="182" fontId="9" fillId="0" borderId="0" xfId="0" applyFont="true" applyBorder="false" applyAlignment="true" applyProtection="false">
      <alignment horizontal="center" vertical="center" textRotation="0" wrapText="false" indent="0" shrinkToFit="false"/>
      <protection locked="true" hidden="false"/>
    </xf>
    <xf numFmtId="164" fontId="48" fillId="0" borderId="0" xfId="30" applyFont="true" applyBorder="false" applyAlignment="true" applyProtection="false">
      <alignment horizontal="right" vertical="center" textRotation="0" wrapText="false" indent="0" shrinkToFit="false"/>
      <protection locked="true" hidden="false"/>
    </xf>
    <xf numFmtId="182" fontId="4" fillId="0" borderId="56" xfId="30" applyFont="true" applyBorder="true" applyAlignment="false" applyProtection="false">
      <alignment horizontal="general" vertical="bottom" textRotation="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true">
      <alignment horizontal="general" vertical="bottom" textRotation="0" wrapText="false" indent="0" shrinkToFit="false"/>
      <protection locked="fals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0" fillId="0" borderId="0" xfId="20" applyFont="true" applyBorder="true" applyAlignment="true" applyProtection="true">
      <alignment horizontal="general" vertical="bottom" textRotation="0" wrapText="false" indent="0" shrinkToFit="false"/>
      <protection locked="false" hidden="false"/>
    </xf>
    <xf numFmtId="171" fontId="4" fillId="0" borderId="0" xfId="30" applyFont="true" applyBorder="false" applyAlignment="false" applyProtection="false">
      <alignment horizontal="general" vertical="bottom" textRotation="0" wrapText="false" indent="0" shrinkToFit="false"/>
      <protection locked="true" hidden="false"/>
    </xf>
    <xf numFmtId="176" fontId="4" fillId="0" borderId="0" xfId="30" applyFont="true" applyBorder="false" applyAlignment="false" applyProtection="false">
      <alignment horizontal="general" vertical="bottom" textRotation="0" wrapText="false" indent="0" shrinkToFit="false"/>
      <protection locked="true" hidden="false"/>
    </xf>
    <xf numFmtId="164" fontId="4" fillId="2" borderId="1" xfId="30" applyFont="true" applyBorder="true" applyAlignment="false" applyProtection="false">
      <alignment horizontal="general" vertical="bottom" textRotation="0" wrapText="false" indent="0" shrinkToFit="false"/>
      <protection locked="true" hidden="false"/>
    </xf>
    <xf numFmtId="172" fontId="47" fillId="0" borderId="0" xfId="30" applyFont="true" applyBorder="false" applyAlignment="true" applyProtection="false">
      <alignment horizontal="left" vertical="bottom" textRotation="0" wrapText="false" indent="0" shrinkToFit="false"/>
      <protection locked="true" hidden="false"/>
    </xf>
    <xf numFmtId="164" fontId="50" fillId="7" borderId="57" xfId="30" applyFont="true" applyBorder="true" applyAlignment="true" applyProtection="false">
      <alignment horizontal="center" vertical="bottom" textRotation="0" wrapText="false" indent="0" shrinkToFit="false"/>
      <protection locked="true" hidden="false"/>
    </xf>
    <xf numFmtId="183" fontId="48" fillId="0" borderId="58" xfId="30" applyFont="true" applyBorder="true" applyAlignment="true" applyProtection="false">
      <alignment horizontal="center" vertical="bottom" textRotation="0" wrapText="false" indent="0" shrinkToFit="false"/>
      <protection locked="true" hidden="false"/>
    </xf>
    <xf numFmtId="171" fontId="51" fillId="5" borderId="57" xfId="30" applyFont="true" applyBorder="true" applyAlignment="true" applyProtection="false">
      <alignment horizontal="center" vertical="bottom" textRotation="0" wrapText="false" indent="0" shrinkToFit="false"/>
      <protection locked="true" hidden="false"/>
    </xf>
    <xf numFmtId="171" fontId="52" fillId="0" borderId="59" xfId="30" applyFont="true" applyBorder="true" applyAlignment="true" applyProtection="false">
      <alignment horizontal="center" vertical="bottom" textRotation="0" wrapText="false" indent="0" shrinkToFit="false"/>
      <protection locked="true" hidden="false"/>
    </xf>
    <xf numFmtId="171" fontId="8" fillId="0" borderId="0" xfId="30" applyFont="true" applyBorder="false" applyAlignment="true" applyProtection="false">
      <alignment horizontal="center" vertical="bottom" textRotation="0" wrapText="false" indent="0" shrinkToFit="false"/>
      <protection locked="true" hidden="false"/>
    </xf>
    <xf numFmtId="182" fontId="7" fillId="0" borderId="0" xfId="0" applyFont="true" applyBorder="false" applyAlignment="false" applyProtection="false">
      <alignment horizontal="general" vertical="bottom" textRotation="0" wrapText="false" indent="0" shrinkToFit="false"/>
      <protection locked="true" hidden="false"/>
    </xf>
    <xf numFmtId="164" fontId="47" fillId="4" borderId="43" xfId="30" applyFont="true" applyBorder="true" applyAlignment="true" applyProtection="false">
      <alignment horizontal="center" vertical="bottom" textRotation="0" wrapText="false" indent="0" shrinkToFit="false"/>
      <protection locked="true" hidden="false"/>
    </xf>
    <xf numFmtId="164" fontId="47" fillId="4" borderId="40" xfId="30" applyFont="true" applyBorder="true" applyAlignment="false" applyProtection="false">
      <alignment horizontal="general" vertical="bottom" textRotation="0" wrapText="false" indent="0" shrinkToFit="false"/>
      <protection locked="true" hidden="false"/>
    </xf>
    <xf numFmtId="164" fontId="47" fillId="4" borderId="40" xfId="30" applyFont="true" applyBorder="true" applyAlignment="true" applyProtection="false">
      <alignment horizontal="center" vertical="bottom" textRotation="0" wrapText="false" indent="0" shrinkToFit="false"/>
      <protection locked="true" hidden="false"/>
    </xf>
    <xf numFmtId="172" fontId="47" fillId="4" borderId="40" xfId="30" applyFont="true" applyBorder="true" applyAlignment="true" applyProtection="false">
      <alignment horizontal="center" vertical="bottom" textRotation="0" wrapText="false" indent="0" shrinkToFit="false"/>
      <protection locked="true" hidden="false"/>
    </xf>
    <xf numFmtId="164" fontId="53" fillId="4" borderId="42" xfId="30" applyFont="true" applyBorder="true" applyAlignment="false" applyProtection="false">
      <alignment horizontal="general" vertical="bottom" textRotation="0" wrapText="false" indent="0" shrinkToFit="false"/>
      <protection locked="true" hidden="false"/>
    </xf>
    <xf numFmtId="171" fontId="54" fillId="5" borderId="57" xfId="30" applyFont="true" applyBorder="true" applyAlignment="true" applyProtection="false">
      <alignment horizontal="center" vertical="bottom" textRotation="0" wrapText="false" indent="0" shrinkToFit="false"/>
      <protection locked="true" hidden="false"/>
    </xf>
    <xf numFmtId="171" fontId="54" fillId="5" borderId="60" xfId="30" applyFont="true" applyBorder="true" applyAlignment="true" applyProtection="false">
      <alignment horizontal="center" vertical="bottom" textRotation="0" wrapText="false" indent="0" shrinkToFit="false"/>
      <protection locked="true" hidden="false"/>
    </xf>
    <xf numFmtId="176" fontId="54" fillId="5" borderId="60" xfId="30" applyFont="true" applyBorder="true" applyAlignment="true" applyProtection="false">
      <alignment horizontal="center" vertical="bottom" textRotation="0" wrapText="false" indent="0" shrinkToFit="false"/>
      <protection locked="true" hidden="false"/>
    </xf>
    <xf numFmtId="176" fontId="54" fillId="5" borderId="59" xfId="30" applyFont="true" applyBorder="true" applyAlignment="true" applyProtection="false">
      <alignment horizontal="center" vertical="bottom" textRotation="0" wrapText="false" indent="0" shrinkToFit="false"/>
      <protection locked="true" hidden="false"/>
    </xf>
    <xf numFmtId="164" fontId="47" fillId="0" borderId="0" xfId="30" applyFont="true" applyBorder="false" applyAlignment="true" applyProtection="false">
      <alignment horizontal="center" vertical="bottom" textRotation="0" wrapText="false" indent="0" shrinkToFit="false"/>
      <protection locked="true" hidden="false"/>
    </xf>
    <xf numFmtId="164" fontId="47" fillId="0" borderId="0" xfId="30" applyFont="true" applyBorder="false" applyAlignment="false" applyProtection="false">
      <alignment horizontal="general" vertical="bottom" textRotation="0" wrapText="false" indent="0" shrinkToFit="false"/>
      <protection locked="true" hidden="false"/>
    </xf>
    <xf numFmtId="172" fontId="47" fillId="0" borderId="0" xfId="30" applyFont="true" applyBorder="false" applyAlignment="true" applyProtection="false">
      <alignment horizontal="center" vertical="bottom" textRotation="0" wrapText="false" indent="0" shrinkToFit="false"/>
      <protection locked="true" hidden="false"/>
    </xf>
    <xf numFmtId="164" fontId="53" fillId="0" borderId="0" xfId="30" applyFont="true" applyBorder="false" applyAlignment="false" applyProtection="false">
      <alignment horizontal="general" vertical="bottom" textRotation="0" wrapText="false" indent="0" shrinkToFit="false"/>
      <protection locked="true" hidden="false"/>
    </xf>
    <xf numFmtId="164" fontId="4" fillId="0" borderId="53" xfId="30" applyFont="true" applyBorder="true" applyAlignment="true" applyProtection="false">
      <alignment horizontal="center" vertical="bottom" textRotation="0" wrapText="false" indent="0" shrinkToFit="false"/>
      <protection locked="true" hidden="false"/>
    </xf>
    <xf numFmtId="164" fontId="5" fillId="0" borderId="1" xfId="30" applyFont="true" applyBorder="true" applyAlignment="true" applyProtection="false">
      <alignment horizontal="left" vertical="bottom" textRotation="0" wrapText="false" indent="0" shrinkToFit="false"/>
      <protection locked="true" hidden="false"/>
    </xf>
    <xf numFmtId="164" fontId="5" fillId="0" borderId="1" xfId="30" applyFont="true" applyBorder="true" applyAlignment="true" applyProtection="false">
      <alignment horizontal="center" vertical="bottom" textRotation="0" wrapText="false" indent="0" shrinkToFit="false"/>
      <protection locked="true" hidden="false"/>
    </xf>
    <xf numFmtId="173" fontId="5" fillId="0" borderId="1" xfId="30" applyFont="true" applyBorder="true" applyAlignment="true" applyProtection="false">
      <alignment horizontal="right" vertical="bottom" textRotation="0" wrapText="false" indent="0" shrinkToFit="false"/>
      <protection locked="true" hidden="false"/>
    </xf>
    <xf numFmtId="174" fontId="4" fillId="0" borderId="1" xfId="30" applyFont="true" applyBorder="true" applyAlignment="false" applyProtection="false">
      <alignment horizontal="general" vertical="bottom" textRotation="0" wrapText="false" indent="0" shrinkToFit="false"/>
      <protection locked="true" hidden="false"/>
    </xf>
    <xf numFmtId="174" fontId="4" fillId="0" borderId="53" xfId="30" applyFont="true" applyBorder="true" applyAlignment="false" applyProtection="false">
      <alignment horizontal="general" vertical="bottom" textRotation="0" wrapText="false" indent="0" shrinkToFit="false"/>
      <protection locked="true" hidden="false"/>
    </xf>
    <xf numFmtId="183" fontId="52" fillId="0" borderId="61" xfId="30" applyFont="true" applyBorder="true" applyAlignment="true" applyProtection="false">
      <alignment horizontal="center" vertical="bottom" textRotation="0" wrapText="false" indent="0" shrinkToFit="false"/>
      <protection locked="true" hidden="false"/>
    </xf>
    <xf numFmtId="171" fontId="48" fillId="0" borderId="62" xfId="30" applyFont="true" applyBorder="true" applyAlignment="false" applyProtection="false">
      <alignment horizontal="general" vertical="bottom" textRotation="0" wrapText="false" indent="0" shrinkToFit="false"/>
      <protection locked="true" hidden="false"/>
    </xf>
    <xf numFmtId="171" fontId="52" fillId="0" borderId="62" xfId="30" applyFont="true" applyBorder="true" applyAlignment="true" applyProtection="false">
      <alignment horizontal="center" vertical="bottom" textRotation="0" wrapText="false" indent="0" shrinkToFit="false"/>
      <protection locked="true" hidden="false"/>
    </xf>
    <xf numFmtId="176" fontId="48" fillId="0" borderId="62" xfId="30" applyFont="true" applyBorder="true" applyAlignment="false" applyProtection="false">
      <alignment horizontal="general" vertical="bottom" textRotation="0" wrapText="false" indent="0" shrinkToFit="false"/>
      <protection locked="true" hidden="false"/>
    </xf>
    <xf numFmtId="176" fontId="48" fillId="0" borderId="63" xfId="30" applyFont="true" applyBorder="true" applyAlignment="false" applyProtection="false">
      <alignment horizontal="general" vertical="bottom" textRotation="0" wrapText="false" indent="0" shrinkToFit="false"/>
      <protection locked="true" hidden="false"/>
    </xf>
    <xf numFmtId="164" fontId="4" fillId="0" borderId="1" xfId="30" applyFont="true" applyBorder="true" applyAlignment="true" applyProtection="false">
      <alignment horizontal="left" vertical="bottom" textRotation="0" wrapText="false" indent="0" shrinkToFit="false"/>
      <protection locked="true" hidden="false"/>
    </xf>
    <xf numFmtId="164" fontId="4" fillId="0" borderId="1" xfId="30" applyFont="true" applyBorder="true" applyAlignment="true" applyProtection="false">
      <alignment horizontal="center" vertical="bottom" textRotation="0" wrapText="false" indent="0" shrinkToFit="false"/>
      <protection locked="true" hidden="false"/>
    </xf>
    <xf numFmtId="173" fontId="4" fillId="0" borderId="1" xfId="30" applyFont="true" applyBorder="true" applyAlignment="true" applyProtection="false">
      <alignment horizontal="center" vertical="bottom" textRotation="0" wrapText="false" indent="0" shrinkToFit="false"/>
      <protection locked="true" hidden="false"/>
    </xf>
    <xf numFmtId="171" fontId="52" fillId="0" borderId="64" xfId="30" applyFont="true" applyBorder="true" applyAlignment="true" applyProtection="false">
      <alignment horizontal="center" vertical="bottom" textRotation="0" wrapText="false" indent="0" shrinkToFit="false"/>
      <protection locked="true" hidden="false"/>
    </xf>
    <xf numFmtId="171" fontId="48" fillId="0" borderId="65" xfId="30" applyFont="true" applyBorder="true" applyAlignment="false" applyProtection="false">
      <alignment horizontal="general" vertical="bottom" textRotation="0" wrapText="false" indent="0" shrinkToFit="false"/>
      <protection locked="true" hidden="false"/>
    </xf>
    <xf numFmtId="171" fontId="52" fillId="0" borderId="65" xfId="30" applyFont="true" applyBorder="true" applyAlignment="true" applyProtection="false">
      <alignment horizontal="center" vertical="bottom" textRotation="0" wrapText="false" indent="0" shrinkToFit="false"/>
      <protection locked="true" hidden="false"/>
    </xf>
    <xf numFmtId="176" fontId="48" fillId="0" borderId="65" xfId="30" applyFont="true" applyBorder="true" applyAlignment="false" applyProtection="false">
      <alignment horizontal="general" vertical="bottom" textRotation="0" wrapText="false" indent="0" shrinkToFit="false"/>
      <protection locked="true" hidden="false"/>
    </xf>
    <xf numFmtId="176" fontId="48" fillId="0" borderId="66" xfId="30" applyFont="true" applyBorder="true" applyAlignment="false" applyProtection="false">
      <alignment horizontal="general" vertical="bottom" textRotation="0" wrapText="false" indent="0" shrinkToFit="false"/>
      <protection locked="true" hidden="false"/>
    </xf>
    <xf numFmtId="164" fontId="47" fillId="0" borderId="67" xfId="30" applyFont="true" applyBorder="true" applyAlignment="true" applyProtection="false">
      <alignment horizontal="center" vertical="bottom" textRotation="0" wrapText="false" indent="0" shrinkToFit="false"/>
      <protection locked="true" hidden="false"/>
    </xf>
    <xf numFmtId="173" fontId="47" fillId="0" borderId="0" xfId="30" applyFont="true" applyBorder="false" applyAlignment="true" applyProtection="false">
      <alignment horizontal="center" vertical="bottom" textRotation="0" wrapText="false" indent="0" shrinkToFit="false"/>
      <protection locked="true" hidden="false"/>
    </xf>
    <xf numFmtId="178" fontId="47" fillId="0" borderId="0" xfId="30" applyFont="true" applyBorder="false" applyAlignment="false" applyProtection="false">
      <alignment horizontal="general" vertical="bottom" textRotation="0" wrapText="false" indent="0" shrinkToFit="false"/>
      <protection locked="true" hidden="false"/>
    </xf>
    <xf numFmtId="174" fontId="47" fillId="0" borderId="68" xfId="30" applyFont="true" applyBorder="true" applyAlignment="false" applyProtection="false">
      <alignment horizontal="general" vertical="bottom" textRotation="0" wrapText="false" indent="0" shrinkToFit="false"/>
      <protection locked="true" hidden="false"/>
    </xf>
    <xf numFmtId="171" fontId="50" fillId="0" borderId="69" xfId="30" applyFont="true" applyBorder="true" applyAlignment="false" applyProtection="false">
      <alignment horizontal="general" vertical="bottom" textRotation="0" wrapText="false" indent="0" shrinkToFit="false"/>
      <protection locked="true" hidden="false"/>
    </xf>
    <xf numFmtId="164" fontId="50" fillId="0" borderId="0" xfId="30" applyFont="true" applyBorder="false" applyAlignment="false" applyProtection="false">
      <alignment horizontal="general" vertical="bottom" textRotation="0" wrapText="false" indent="0" shrinkToFit="false"/>
      <protection locked="true" hidden="false"/>
    </xf>
    <xf numFmtId="176" fontId="50" fillId="0" borderId="69" xfId="30" applyFont="true" applyBorder="true" applyAlignment="false" applyProtection="false">
      <alignment horizontal="general" vertical="bottom" textRotation="0" wrapText="false" indent="0" shrinkToFit="false"/>
      <protection locked="true" hidden="false"/>
    </xf>
    <xf numFmtId="164" fontId="4" fillId="0" borderId="0" xfId="30" applyFont="true" applyBorder="false" applyAlignment="true" applyProtection="false">
      <alignment horizontal="left" vertical="bottom" textRotation="0" wrapText="false" indent="0" shrinkToFit="false"/>
      <protection locked="true" hidden="false"/>
    </xf>
    <xf numFmtId="173" fontId="4" fillId="0" borderId="0" xfId="30" applyFont="true" applyBorder="false" applyAlignment="true" applyProtection="false">
      <alignment horizontal="center" vertical="bottom" textRotation="0" wrapText="false" indent="0" shrinkToFit="false"/>
      <protection locked="true" hidden="false"/>
    </xf>
    <xf numFmtId="178" fontId="4" fillId="0" borderId="0" xfId="30" applyFont="true" applyBorder="false" applyAlignment="fals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left" vertical="bottom" textRotation="0" wrapText="false" indent="0" shrinkToFit="false"/>
      <protection locked="true" hidden="false"/>
    </xf>
    <xf numFmtId="164" fontId="4" fillId="0" borderId="3" xfId="30" applyFont="true" applyBorder="true" applyAlignment="false" applyProtection="false">
      <alignment horizontal="general" vertical="bottom" textRotation="0" wrapText="false" indent="0" shrinkToFit="false"/>
      <protection locked="true" hidden="false"/>
    </xf>
    <xf numFmtId="164" fontId="4" fillId="0" borderId="6" xfId="3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78" fontId="4" fillId="0" borderId="0" xfId="30" applyFont="true" applyBorder="false" applyAlignment="true" applyProtection="false">
      <alignment horizontal="right" vertical="bottom" textRotation="0" wrapText="false" indent="0" shrinkToFit="false"/>
      <protection locked="true" hidden="false"/>
    </xf>
    <xf numFmtId="166" fontId="4" fillId="0" borderId="0" xfId="25" applyFont="true" applyBorder="true" applyAlignment="true" applyProtection="true">
      <alignment horizontal="left" vertical="bottom" textRotation="0" wrapText="false" indent="0" shrinkToFit="false"/>
      <protection locked="true" hidden="false"/>
    </xf>
    <xf numFmtId="166" fontId="4" fillId="0" borderId="0" xfId="25" applyFont="true" applyBorder="true" applyAlignment="true" applyProtection="true">
      <alignment horizontal="general" vertical="bottom" textRotation="0" wrapText="false" indent="0" shrinkToFit="false"/>
      <protection locked="true" hidden="false"/>
    </xf>
    <xf numFmtId="164" fontId="55" fillId="0" borderId="11" xfId="30" applyFont="true" applyBorder="true" applyAlignment="true" applyProtection="false">
      <alignment horizontal="center" vertical="bottom" textRotation="0" wrapText="false" indent="0" shrinkToFit="false"/>
      <protection locked="true" hidden="false"/>
    </xf>
    <xf numFmtId="178" fontId="47" fillId="0" borderId="14" xfId="30" applyFont="true" applyBorder="true" applyAlignment="true" applyProtection="false">
      <alignment horizontal="center" vertical="bottom" textRotation="0" wrapText="false" indent="0" shrinkToFit="false"/>
      <protection locked="true" hidden="false"/>
    </xf>
    <xf numFmtId="164" fontId="56" fillId="0" borderId="0" xfId="30" applyFont="true" applyBorder="false" applyAlignment="true" applyProtection="false">
      <alignment horizontal="center" vertical="bottom" textRotation="0" wrapText="false" indent="0" shrinkToFit="false"/>
      <protection locked="true" hidden="false"/>
    </xf>
    <xf numFmtId="176" fontId="48" fillId="0" borderId="0" xfId="30" applyFont="true" applyBorder="false" applyAlignment="false" applyProtection="false">
      <alignment horizontal="general" vertical="bottom" textRotation="0" wrapText="false" indent="0" shrinkToFit="false"/>
      <protection locked="true" hidden="false"/>
    </xf>
    <xf numFmtId="164" fontId="48" fillId="0" borderId="0" xfId="30" applyFont="true" applyBorder="false" applyAlignment="false" applyProtection="false">
      <alignment horizontal="general" vertical="bottom" textRotation="0" wrapText="false" indent="0" shrinkToFit="false"/>
      <protection locked="true" hidden="false"/>
    </xf>
    <xf numFmtId="178" fontId="48" fillId="0" borderId="0" xfId="0" applyFont="true" applyBorder="false" applyAlignment="true" applyProtection="false">
      <alignment horizontal="right" vertical="bottom"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69" fontId="57" fillId="0" borderId="0" xfId="0" applyFont="true" applyBorder="false" applyAlignment="true" applyProtection="false">
      <alignment horizontal="center" vertical="bottom" textRotation="0" wrapText="false" indent="0" shrinkToFit="false"/>
      <protection locked="true" hidden="false"/>
    </xf>
    <xf numFmtId="171" fontId="48" fillId="0" borderId="0" xfId="30" applyFont="true" applyBorder="false" applyAlignment="false" applyProtection="false">
      <alignment horizontal="general" vertical="bottom" textRotation="0" wrapText="false" indent="0" shrinkToFit="false"/>
      <protection locked="true" hidden="false"/>
    </xf>
    <xf numFmtId="164" fontId="55" fillId="0" borderId="0" xfId="30" applyFont="true" applyBorder="false" applyAlignment="true" applyProtection="false">
      <alignment horizontal="center" vertical="bottom" textRotation="0" wrapText="false" indent="0" shrinkToFit="false"/>
      <protection locked="true" hidden="false"/>
    </xf>
    <xf numFmtId="171" fontId="4" fillId="0" borderId="70" xfId="30" applyFont="true" applyBorder="true" applyAlignment="false" applyProtection="false">
      <alignment horizontal="general" vertical="bottom" textRotation="0" wrapText="false" indent="0" shrinkToFit="false"/>
      <protection locked="true" hidden="false"/>
    </xf>
    <xf numFmtId="164" fontId="4" fillId="0" borderId="0" xfId="28" applyFont="true" applyBorder="false" applyAlignment="false" applyProtection="false">
      <alignment horizontal="general" vertical="bottom" textRotation="0" wrapText="false" indent="0" shrinkToFit="false"/>
      <protection locked="true" hidden="false"/>
    </xf>
    <xf numFmtId="166" fontId="4" fillId="0" borderId="0" xfId="23" applyFont="true" applyBorder="true" applyAlignment="true" applyProtection="true">
      <alignment horizontal="general" vertical="bottom" textRotation="0" wrapText="false" indent="0" shrinkToFit="false"/>
      <protection locked="true" hidden="false"/>
    </xf>
    <xf numFmtId="164" fontId="46" fillId="0" borderId="0" xfId="28" applyFont="true" applyBorder="true" applyAlignment="true" applyProtection="false">
      <alignment horizontal="center" vertical="center" textRotation="0" wrapText="false" indent="0" shrinkToFit="false"/>
      <protection locked="true" hidden="false"/>
    </xf>
    <xf numFmtId="164" fontId="47" fillId="0" borderId="0" xfId="28"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75" fontId="10" fillId="0" borderId="5" xfId="0" applyFont="true" applyBorder="true" applyAlignment="true" applyProtection="false">
      <alignment horizontal="center" vertical="bottom" textRotation="0" wrapText="false" indent="0" shrinkToFit="false"/>
      <protection locked="true" hidden="false"/>
    </xf>
    <xf numFmtId="164" fontId="50" fillId="7" borderId="57" xfId="29" applyFont="true" applyBorder="true" applyAlignment="true" applyProtection="false">
      <alignment horizontal="center" vertical="bottom" textRotation="0" wrapText="false" indent="0" shrinkToFit="false"/>
      <protection locked="true" hidden="false"/>
    </xf>
    <xf numFmtId="183" fontId="48" fillId="0" borderId="58" xfId="29" applyFont="true" applyBorder="true" applyAlignment="true" applyProtection="false">
      <alignment horizontal="center" vertical="bottom" textRotation="0" wrapText="false" indent="0" shrinkToFit="false"/>
      <protection locked="true" hidden="false"/>
    </xf>
    <xf numFmtId="171" fontId="51" fillId="5" borderId="57" xfId="29" applyFont="true" applyBorder="true" applyAlignment="true" applyProtection="false">
      <alignment horizontal="center" vertical="bottom" textRotation="0" wrapText="false" indent="0" shrinkToFit="false"/>
      <protection locked="true" hidden="false"/>
    </xf>
    <xf numFmtId="171" fontId="52" fillId="0" borderId="59" xfId="29" applyFont="true" applyBorder="true" applyAlignment="true" applyProtection="false">
      <alignment horizontal="center" vertical="bottom" textRotation="0" wrapText="false" indent="0" shrinkToFit="false"/>
      <protection locked="true" hidden="false"/>
    </xf>
    <xf numFmtId="176" fontId="4" fillId="0" borderId="0" xfId="29" applyFont="true" applyBorder="false" applyAlignment="false" applyProtection="false">
      <alignment horizontal="general" vertical="bottom" textRotation="0" wrapText="false" indent="0" shrinkToFit="false"/>
      <protection locked="true" hidden="false"/>
    </xf>
    <xf numFmtId="178" fontId="4" fillId="0" borderId="0" xfId="28" applyFont="true" applyBorder="false" applyAlignment="false" applyProtection="false">
      <alignment horizontal="general" vertical="bottom" textRotation="0" wrapText="false" indent="0" shrinkToFit="false"/>
      <protection locked="true" hidden="false"/>
    </xf>
    <xf numFmtId="171" fontId="4" fillId="0" borderId="0" xfId="29" applyFont="true" applyBorder="false" applyAlignment="false" applyProtection="false">
      <alignment horizontal="general" vertical="bottom" textRotation="0" wrapText="false" indent="0" shrinkToFit="false"/>
      <protection locked="true" hidden="false"/>
    </xf>
    <xf numFmtId="171" fontId="8" fillId="0" borderId="0" xfId="29" applyFont="true" applyBorder="false" applyAlignment="true" applyProtection="false">
      <alignment horizontal="center" vertical="bottom" textRotation="0" wrapText="false" indent="0" shrinkToFit="false"/>
      <protection locked="true" hidden="false"/>
    </xf>
    <xf numFmtId="164" fontId="53" fillId="4" borderId="1" xfId="28" applyFont="true" applyBorder="true" applyAlignment="true" applyProtection="false">
      <alignment horizontal="center" vertical="bottom" textRotation="0" wrapText="false" indent="0" shrinkToFit="false"/>
      <protection locked="true" hidden="false"/>
    </xf>
    <xf numFmtId="164" fontId="53" fillId="4" borderId="53" xfId="28" applyFont="true" applyBorder="true" applyAlignment="true" applyProtection="false">
      <alignment horizontal="center" vertical="bottom" textRotation="0" wrapText="false" indent="0" shrinkToFit="false"/>
      <protection locked="true" hidden="false"/>
    </xf>
    <xf numFmtId="164" fontId="47" fillId="4" borderId="1" xfId="28" applyFont="true" applyBorder="true" applyAlignment="false" applyProtection="false">
      <alignment horizontal="general" vertical="bottom" textRotation="0" wrapText="false" indent="0" shrinkToFit="false"/>
      <protection locked="true" hidden="false"/>
    </xf>
    <xf numFmtId="171" fontId="54" fillId="5" borderId="57" xfId="29" applyFont="true" applyBorder="true" applyAlignment="true" applyProtection="false">
      <alignment horizontal="center" vertical="bottom" textRotation="0" wrapText="false" indent="0" shrinkToFit="false"/>
      <protection locked="true" hidden="false"/>
    </xf>
    <xf numFmtId="171" fontId="54" fillId="5" borderId="60" xfId="29" applyFont="true" applyBorder="true" applyAlignment="true" applyProtection="false">
      <alignment horizontal="center" vertical="bottom" textRotation="0" wrapText="false" indent="0" shrinkToFit="false"/>
      <protection locked="true" hidden="false"/>
    </xf>
    <xf numFmtId="176" fontId="54" fillId="5" borderId="60" xfId="29" applyFont="true" applyBorder="true" applyAlignment="true" applyProtection="false">
      <alignment horizontal="center" vertical="bottom" textRotation="0" wrapText="false" indent="0" shrinkToFit="false"/>
      <protection locked="true" hidden="false"/>
    </xf>
    <xf numFmtId="176" fontId="54" fillId="5" borderId="59" xfId="29" applyFont="true" applyBorder="true" applyAlignment="true" applyProtection="false">
      <alignment horizontal="center" vertical="bottom" textRotation="0" wrapText="false" indent="0" shrinkToFit="false"/>
      <protection locked="true" hidden="false"/>
    </xf>
    <xf numFmtId="164" fontId="4" fillId="0" borderId="1" xfId="28" applyFont="true" applyBorder="true" applyAlignment="true" applyProtection="false">
      <alignment horizontal="center" vertical="bottom" textRotation="0" wrapText="false" indent="0" shrinkToFit="false"/>
      <protection locked="true" hidden="false"/>
    </xf>
    <xf numFmtId="164" fontId="4" fillId="0" borderId="1" xfId="28" applyFont="true" applyBorder="true" applyAlignment="true" applyProtection="false">
      <alignment horizontal="left" vertical="bottom" textRotation="0" wrapText="false" indent="0" shrinkToFit="false"/>
      <protection locked="true" hidden="false"/>
    </xf>
    <xf numFmtId="164" fontId="4" fillId="0" borderId="1" xfId="28" applyFont="true" applyBorder="true" applyAlignment="false" applyProtection="false">
      <alignment horizontal="general" vertical="bottom" textRotation="0" wrapText="false" indent="0" shrinkToFit="false"/>
      <protection locked="true" hidden="false"/>
    </xf>
    <xf numFmtId="173" fontId="4" fillId="0" borderId="1" xfId="28" applyFont="true" applyBorder="true" applyAlignment="false" applyProtection="false">
      <alignment horizontal="general" vertical="bottom" textRotation="0" wrapText="false" indent="0" shrinkToFit="false"/>
      <protection locked="true" hidden="false"/>
    </xf>
    <xf numFmtId="178" fontId="4" fillId="0" borderId="1" xfId="28" applyFont="true" applyBorder="true" applyAlignment="true" applyProtection="false">
      <alignment horizontal="center" vertical="bottom" textRotation="0" wrapText="false" indent="0" shrinkToFit="false"/>
      <protection locked="true" hidden="false"/>
    </xf>
    <xf numFmtId="178" fontId="4" fillId="0" borderId="1" xfId="28" applyFont="true" applyBorder="true" applyAlignment="false" applyProtection="false">
      <alignment horizontal="general" vertical="bottom" textRotation="0" wrapText="false" indent="0" shrinkToFit="false"/>
      <protection locked="true" hidden="false"/>
    </xf>
    <xf numFmtId="183" fontId="52" fillId="0" borderId="71" xfId="29" applyFont="true" applyBorder="true" applyAlignment="true" applyProtection="false">
      <alignment horizontal="center" vertical="bottom" textRotation="0" wrapText="false" indent="0" shrinkToFit="false"/>
      <protection locked="true" hidden="false"/>
    </xf>
    <xf numFmtId="171" fontId="48" fillId="0" borderId="62" xfId="29" applyFont="true" applyBorder="true" applyAlignment="false" applyProtection="false">
      <alignment horizontal="general" vertical="bottom" textRotation="0" wrapText="false" indent="0" shrinkToFit="false"/>
      <protection locked="true" hidden="false"/>
    </xf>
    <xf numFmtId="171" fontId="52" fillId="0" borderId="72" xfId="29" applyFont="true" applyBorder="true" applyAlignment="true" applyProtection="false">
      <alignment horizontal="center" vertical="bottom" textRotation="0" wrapText="false" indent="0" shrinkToFit="false"/>
      <protection locked="true" hidden="false"/>
    </xf>
    <xf numFmtId="176" fontId="48" fillId="0" borderId="62" xfId="29" applyFont="true" applyBorder="true" applyAlignment="false" applyProtection="false">
      <alignment horizontal="general" vertical="bottom" textRotation="0" wrapText="false" indent="0" shrinkToFit="false"/>
      <protection locked="true" hidden="false"/>
    </xf>
    <xf numFmtId="176" fontId="48" fillId="0" borderId="63" xfId="29" applyFont="true" applyBorder="true" applyAlignment="false" applyProtection="false">
      <alignment horizontal="general" vertical="bottom" textRotation="0" wrapText="false" indent="0" shrinkToFit="false"/>
      <protection locked="true" hidden="false"/>
    </xf>
    <xf numFmtId="164" fontId="4" fillId="0" borderId="73" xfId="28" applyFont="true" applyBorder="true" applyAlignment="true" applyProtection="false">
      <alignment horizontal="left" vertical="bottom" textRotation="0" wrapText="false" indent="0" shrinkToFit="false"/>
      <protection locked="true" hidden="false"/>
    </xf>
    <xf numFmtId="164" fontId="4" fillId="0" borderId="73" xfId="28" applyFont="true" applyBorder="true" applyAlignment="false" applyProtection="false">
      <alignment horizontal="general" vertical="bottom" textRotation="0" wrapText="false" indent="0" shrinkToFit="false"/>
      <protection locked="true" hidden="false"/>
    </xf>
    <xf numFmtId="164" fontId="4" fillId="0" borderId="73" xfId="28" applyFont="true" applyBorder="true" applyAlignment="true" applyProtection="false">
      <alignment horizontal="center" vertical="bottom" textRotation="0" wrapText="false" indent="0" shrinkToFit="false"/>
      <protection locked="true" hidden="false"/>
    </xf>
    <xf numFmtId="173" fontId="4" fillId="0" borderId="73" xfId="28" applyFont="true" applyBorder="true" applyAlignment="false" applyProtection="false">
      <alignment horizontal="general" vertical="bottom" textRotation="0" wrapText="false" indent="0" shrinkToFit="false"/>
      <protection locked="true" hidden="false"/>
    </xf>
    <xf numFmtId="178" fontId="4" fillId="0" borderId="73" xfId="28" applyFont="true" applyBorder="true" applyAlignment="true" applyProtection="false">
      <alignment horizontal="center" vertical="bottom" textRotation="0" wrapText="false" indent="0" shrinkToFit="false"/>
      <protection locked="true" hidden="false"/>
    </xf>
    <xf numFmtId="178" fontId="47" fillId="0" borderId="74" xfId="28" applyFont="true" applyBorder="true" applyAlignment="false" applyProtection="false">
      <alignment horizontal="general" vertical="bottom" textRotation="0" wrapText="false" indent="0" shrinkToFit="false"/>
      <protection locked="true" hidden="false"/>
    </xf>
    <xf numFmtId="171" fontId="51" fillId="0" borderId="64" xfId="29" applyFont="true" applyBorder="true" applyAlignment="true" applyProtection="false">
      <alignment horizontal="center" vertical="bottom" textRotation="0" wrapText="false" indent="0" shrinkToFit="false"/>
      <protection locked="true" hidden="false"/>
    </xf>
    <xf numFmtId="171" fontId="50" fillId="0" borderId="65" xfId="29" applyFont="true" applyBorder="true" applyAlignment="false" applyProtection="false">
      <alignment horizontal="general" vertical="bottom" textRotation="0" wrapText="false" indent="0" shrinkToFit="false"/>
      <protection locked="true" hidden="false"/>
    </xf>
    <xf numFmtId="171" fontId="51" fillId="0" borderId="65" xfId="29" applyFont="true" applyBorder="true" applyAlignment="true" applyProtection="false">
      <alignment horizontal="center" vertical="bottom" textRotation="0" wrapText="false" indent="0" shrinkToFit="false"/>
      <protection locked="true" hidden="false"/>
    </xf>
    <xf numFmtId="176" fontId="50" fillId="0" borderId="65" xfId="29" applyFont="true" applyBorder="true" applyAlignment="false" applyProtection="false">
      <alignment horizontal="general" vertical="bottom" textRotation="0" wrapText="false" indent="0" shrinkToFit="false"/>
      <protection locked="true" hidden="false"/>
    </xf>
    <xf numFmtId="176" fontId="48" fillId="0" borderId="66" xfId="29" applyFont="true" applyBorder="true" applyAlignment="false" applyProtection="false">
      <alignment horizontal="general" vertical="bottom" textRotation="0" wrapText="false" indent="0" shrinkToFit="false"/>
      <protection locked="true" hidden="false"/>
    </xf>
    <xf numFmtId="164" fontId="47" fillId="0" borderId="75" xfId="28" applyFont="true" applyBorder="true" applyAlignment="true" applyProtection="false">
      <alignment horizontal="center" vertical="bottom" textRotation="0" wrapText="false" indent="0" shrinkToFit="false"/>
      <protection locked="true" hidden="false"/>
    </xf>
    <xf numFmtId="164" fontId="4" fillId="0" borderId="2" xfId="28" applyFont="true" applyBorder="true" applyAlignment="false" applyProtection="false">
      <alignment horizontal="general" vertical="bottom" textRotation="0" wrapText="false" indent="0" shrinkToFit="false"/>
      <protection locked="true" hidden="false"/>
    </xf>
    <xf numFmtId="164" fontId="47" fillId="0" borderId="0" xfId="28" applyFont="true" applyBorder="false" applyAlignment="false" applyProtection="false">
      <alignment horizontal="general" vertical="bottom" textRotation="0" wrapText="false" indent="0" shrinkToFit="false"/>
      <protection locked="true" hidden="false"/>
    </xf>
    <xf numFmtId="178" fontId="47" fillId="0" borderId="76" xfId="28" applyFont="true" applyBorder="true" applyAlignment="false" applyProtection="false">
      <alignment horizontal="general" vertical="bottom" textRotation="0" wrapText="false" indent="0" shrinkToFit="false"/>
      <protection locked="true" hidden="false"/>
    </xf>
    <xf numFmtId="164" fontId="4" fillId="0" borderId="0" xfId="29" applyFont="true" applyBorder="false" applyAlignment="false" applyProtection="false">
      <alignment horizontal="general" vertical="bottom" textRotation="0" wrapText="false" indent="0" shrinkToFit="false"/>
      <protection locked="true" hidden="false"/>
    </xf>
    <xf numFmtId="171" fontId="50" fillId="0" borderId="69" xfId="29" applyFont="true" applyBorder="true" applyAlignment="false" applyProtection="false">
      <alignment horizontal="general" vertical="bottom" textRotation="0" wrapText="false" indent="0" shrinkToFit="false"/>
      <protection locked="true" hidden="false"/>
    </xf>
    <xf numFmtId="164" fontId="50" fillId="0" borderId="0" xfId="29" applyFont="true" applyBorder="false" applyAlignment="false" applyProtection="false">
      <alignment horizontal="general" vertical="bottom" textRotation="0" wrapText="false" indent="0" shrinkToFit="false"/>
      <protection locked="true" hidden="false"/>
    </xf>
    <xf numFmtId="176" fontId="50" fillId="0" borderId="69" xfId="29" applyFont="true" applyBorder="true" applyAlignment="false" applyProtection="false">
      <alignment horizontal="general" vertical="bottom" textRotation="0" wrapText="false" indent="0" shrinkToFit="false"/>
      <protection locked="true" hidden="false"/>
    </xf>
    <xf numFmtId="184" fontId="4" fillId="0" borderId="0" xfId="28" applyFont="true" applyBorder="false" applyAlignment="false" applyProtection="false">
      <alignment horizontal="general" vertical="bottom" textRotation="0" wrapText="false" indent="0" shrinkToFit="false"/>
      <protection locked="true" hidden="false"/>
    </xf>
    <xf numFmtId="164" fontId="58" fillId="0" borderId="0" xfId="28" applyFont="true" applyBorder="false" applyAlignment="false" applyProtection="false">
      <alignment horizontal="general" vertical="bottom" textRotation="0" wrapText="false" indent="0" shrinkToFit="false"/>
      <protection locked="true" hidden="false"/>
    </xf>
    <xf numFmtId="164" fontId="47" fillId="0" borderId="0" xfId="28" applyFont="true" applyBorder="false" applyAlignment="true" applyProtection="false">
      <alignment horizontal="right" vertical="bottom" textRotation="0" wrapText="false" indent="0" shrinkToFit="false"/>
      <protection locked="true" hidden="false"/>
    </xf>
  </cellXfs>
  <cellStyles count="20">
    <cellStyle name="Normal" xfId="0" builtinId="0"/>
    <cellStyle name="Comma" xfId="15" builtinId="3"/>
    <cellStyle name="Comma [0]" xfId="16" builtinId="6"/>
    <cellStyle name="Currency" xfId="17" builtinId="4"/>
    <cellStyle name="Currency [0]" xfId="18" builtinId="7"/>
    <cellStyle name="Percent" xfId="19" builtinId="5"/>
    <cellStyle name="Euro" xfId="21"/>
    <cellStyle name="Euro 2" xfId="22"/>
    <cellStyle name="Euro_A_Aufmaß Boden" xfId="23"/>
    <cellStyle name="Euro_A_Aufmaß Glas" xfId="24"/>
    <cellStyle name="Euro_A_Aufmaß Glas 2" xfId="25"/>
    <cellStyle name="Prozent 2 2" xfId="26"/>
    <cellStyle name="Standard_A_Angebot S  E" xfId="27"/>
    <cellStyle name="Standard_A_Aufmaß Boden" xfId="28"/>
    <cellStyle name="Standard_A_Aufmaß Glas" xfId="29"/>
    <cellStyle name="Standard_A_Aufmaß Glas 2" xfId="30"/>
    <cellStyle name="Standard_EUROCOLOR Kiel, Koppelberg 4-6, Kiel" xfId="31"/>
    <cellStyle name="Standard_Piechulla Gerda - Ostseestr  25 - Kiel - S  E 2011-2012" xfId="32"/>
    <cellStyle name="Währung_Piechulla Gerda - Ostseestr  25 - Kiel - S  E 2011-2012" xfId="33"/>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FBFB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A18"/>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A2" activeCellId="0" sqref="A2"/>
    </sheetView>
  </sheetViews>
  <sheetFormatPr defaultColWidth="10.59375" defaultRowHeight="12.75" customHeight="false" zeroHeight="false" outlineLevelRow="0" outlineLevelCol="0"/>
  <cols>
    <col collapsed="false" customWidth="true" hidden="false" outlineLevel="0" max="1" min="1" style="0" width="22.43"/>
    <col collapsed="false" customWidth="true" hidden="false" outlineLevel="0" max="2" min="2" style="0" width="55.57"/>
  </cols>
  <sheetData>
    <row r="3" customFormat="false" ht="12.75" hidden="false" customHeight="false" outlineLevel="0" collapsed="false">
      <c r="A3" s="1" t="s">
        <v>0</v>
      </c>
    </row>
    <row r="4" customFormat="false" ht="12.75" hidden="false" customHeight="false" outlineLevel="0" collapsed="false">
      <c r="A4" s="1" t="s">
        <v>1</v>
      </c>
    </row>
    <row r="5" customFormat="false" ht="12.75" hidden="false" customHeight="false" outlineLevel="0" collapsed="false">
      <c r="A5" s="1" t="s">
        <v>2</v>
      </c>
    </row>
    <row r="6" customFormat="false" ht="12.75" hidden="false" customHeight="false" outlineLevel="0" collapsed="false">
      <c r="A6" s="1" t="s">
        <v>3</v>
      </c>
    </row>
    <row r="7" customFormat="false" ht="12.75" hidden="false" customHeight="false" outlineLevel="0" collapsed="false">
      <c r="A7" s="1" t="s">
        <v>4</v>
      </c>
    </row>
    <row r="8" customFormat="false" ht="12.75" hidden="false" customHeight="false" outlineLevel="0" collapsed="false">
      <c r="A8" s="1" t="s">
        <v>5</v>
      </c>
    </row>
    <row r="9" customFormat="false" ht="12.75" hidden="false" customHeight="false" outlineLevel="0" collapsed="false">
      <c r="A9" s="1" t="s">
        <v>6</v>
      </c>
    </row>
    <row r="10" customFormat="false" ht="12.75" hidden="false" customHeight="false" outlineLevel="0" collapsed="false">
      <c r="A10" s="1" t="s">
        <v>7</v>
      </c>
    </row>
    <row r="11" customFormat="false" ht="12.75" hidden="false" customHeight="false" outlineLevel="0" collapsed="false">
      <c r="A11" s="1" t="s">
        <v>8</v>
      </c>
    </row>
    <row r="12" customFormat="false" ht="12.75" hidden="false" customHeight="false" outlineLevel="0" collapsed="false">
      <c r="A12" s="2"/>
    </row>
    <row r="13" customFormat="false" ht="12.75" hidden="false" customHeight="false" outlineLevel="0" collapsed="false">
      <c r="A13" s="3" t="s">
        <v>9</v>
      </c>
    </row>
    <row r="14" customFormat="false" ht="12.75" hidden="false" customHeight="false" outlineLevel="0" collapsed="false">
      <c r="A14" s="3" t="s">
        <v>10</v>
      </c>
    </row>
    <row r="15" customFormat="false" ht="12.75" hidden="false" customHeight="false" outlineLevel="0" collapsed="false">
      <c r="A15" s="3" t="s">
        <v>11</v>
      </c>
    </row>
    <row r="16" customFormat="false" ht="12.75" hidden="false" customHeight="false" outlineLevel="0" collapsed="false">
      <c r="A16" s="3" t="s">
        <v>12</v>
      </c>
    </row>
    <row r="18" customFormat="false" ht="12.75" hidden="false" customHeight="false" outlineLevel="0" collapsed="false">
      <c r="A18" s="3" t="s">
        <v>13</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00"/>
    <pageSetUpPr fitToPage="false"/>
  </sheetPr>
  <dimension ref="A1:V1048576"/>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26" activeCellId="0" sqref="A26"/>
    </sheetView>
  </sheetViews>
  <sheetFormatPr defaultColWidth="11.42578125" defaultRowHeight="12.75" customHeight="false" zeroHeight="false" outlineLevelRow="0" outlineLevelCol="0"/>
  <cols>
    <col collapsed="false" customWidth="true" hidden="false" outlineLevel="0" max="1" min="1" style="4" width="27.43"/>
    <col collapsed="false" customWidth="true" hidden="false" outlineLevel="0" max="3" min="2" style="5" width="7.71"/>
    <col collapsed="false" customWidth="true" hidden="false" outlineLevel="0" max="5" min="4" style="5" width="8.57"/>
    <col collapsed="false" customWidth="false" hidden="false" outlineLevel="0" max="6" min="6" style="5" width="11.42"/>
    <col collapsed="false" customWidth="true" hidden="false" outlineLevel="0" max="7" min="7" style="6" width="9.86"/>
    <col collapsed="false" customWidth="true" hidden="false" outlineLevel="0" max="8" min="8" style="5" width="6.71"/>
    <col collapsed="false" customWidth="true" hidden="false" outlineLevel="0" max="9" min="9" style="7" width="7.86"/>
    <col collapsed="false" customWidth="true" hidden="false" outlineLevel="0" max="10" min="10" style="8" width="11.29"/>
    <col collapsed="false" customWidth="true" hidden="false" outlineLevel="0" max="11" min="11" style="7" width="9.71"/>
    <col collapsed="false" customWidth="true" hidden="false" outlineLevel="0" max="12" min="12" style="6" width="8.29"/>
    <col collapsed="false" customWidth="true" hidden="false" outlineLevel="0" max="13" min="13" style="7" width="8.42"/>
    <col collapsed="false" customWidth="true" hidden="false" outlineLevel="0" max="14" min="14" style="7" width="8.14"/>
    <col collapsed="false" customWidth="true" hidden="false" outlineLevel="0" max="15" min="15" style="7" width="9"/>
    <col collapsed="false" customWidth="true" hidden="false" outlineLevel="0" max="16" min="16" style="7" width="7.86"/>
    <col collapsed="false" customWidth="true" hidden="false" outlineLevel="0" max="17" min="17" style="6" width="9.14"/>
    <col collapsed="false" customWidth="true" hidden="false" outlineLevel="0" max="18" min="18" style="7" width="11.86"/>
    <col collapsed="false" customWidth="true" hidden="false" outlineLevel="0" max="19" min="19" style="7" width="9"/>
    <col collapsed="false" customWidth="false" hidden="false" outlineLevel="0" max="16384" min="20" style="7" width="11.42"/>
  </cols>
  <sheetData>
    <row r="1" s="7" customFormat="true" ht="12.75" hidden="false" customHeight="false" outlineLevel="0" collapsed="false">
      <c r="A1" s="9" t="s">
        <v>14</v>
      </c>
      <c r="B1" s="10"/>
      <c r="C1" s="10"/>
      <c r="D1" s="11" t="s">
        <v>15</v>
      </c>
      <c r="E1" s="12"/>
      <c r="F1" s="12"/>
      <c r="G1" s="13"/>
      <c r="H1" s="13"/>
      <c r="O1" s="6"/>
    </row>
    <row r="2" customFormat="false" ht="12.75" hidden="false" customHeight="false" outlineLevel="0" collapsed="false">
      <c r="G2" s="14"/>
      <c r="H2" s="7"/>
      <c r="I2" s="6"/>
      <c r="J2" s="7"/>
      <c r="L2" s="7"/>
    </row>
    <row r="3" customFormat="false" ht="12.75" hidden="false" customHeight="false" outlineLevel="0" collapsed="false">
      <c r="A3" s="1" t="s">
        <v>0</v>
      </c>
      <c r="B3" s="15" t="n">
        <f aca="false">Stammdaten!B3</f>
        <v>0</v>
      </c>
      <c r="C3" s="15"/>
      <c r="D3" s="15"/>
      <c r="E3" s="15"/>
      <c r="F3" s="15"/>
      <c r="G3" s="15"/>
      <c r="H3" s="15"/>
      <c r="I3" s="16"/>
      <c r="J3" s="17" t="s">
        <v>16</v>
      </c>
      <c r="K3" s="17"/>
      <c r="L3" s="17"/>
      <c r="M3" s="18"/>
      <c r="N3" s="19" t="s">
        <v>17</v>
      </c>
      <c r="O3" s="20" t="s">
        <v>18</v>
      </c>
      <c r="P3" s="20"/>
    </row>
    <row r="4" customFormat="false" ht="12.75" hidden="false" customHeight="false" outlineLevel="0" collapsed="false">
      <c r="A4" s="1" t="s">
        <v>1</v>
      </c>
      <c r="B4" s="15" t="n">
        <f aca="false">Stammdaten!B4</f>
        <v>0</v>
      </c>
      <c r="C4" s="15"/>
      <c r="D4" s="15"/>
      <c r="E4" s="15"/>
      <c r="F4" s="15"/>
      <c r="G4" s="15"/>
      <c r="H4" s="15"/>
      <c r="I4" s="16"/>
      <c r="J4" s="21" t="s">
        <v>19</v>
      </c>
      <c r="K4" s="21"/>
      <c r="L4" s="21"/>
      <c r="M4" s="22" t="s">
        <v>20</v>
      </c>
      <c r="N4" s="23" t="s">
        <v>21</v>
      </c>
      <c r="O4" s="22" t="s">
        <v>22</v>
      </c>
      <c r="P4" s="24" t="n">
        <v>4.33</v>
      </c>
    </row>
    <row r="5" customFormat="false" ht="12.75" hidden="false" customHeight="false" outlineLevel="0" collapsed="false">
      <c r="A5" s="1" t="s">
        <v>2</v>
      </c>
      <c r="B5" s="15" t="n">
        <f aca="false">Stammdaten!B5</f>
        <v>0</v>
      </c>
      <c r="C5" s="15"/>
      <c r="D5" s="15"/>
      <c r="E5" s="15"/>
      <c r="F5" s="15"/>
      <c r="G5" s="15"/>
      <c r="H5" s="15"/>
      <c r="I5" s="16"/>
      <c r="J5" s="25" t="s">
        <v>23</v>
      </c>
      <c r="K5" s="25"/>
      <c r="L5" s="25"/>
      <c r="M5" s="26" t="s">
        <v>24</v>
      </c>
      <c r="N5" s="27" t="s">
        <v>25</v>
      </c>
      <c r="O5" s="26" t="s">
        <v>26</v>
      </c>
      <c r="P5" s="28" t="n">
        <v>8.66</v>
      </c>
    </row>
    <row r="6" customFormat="false" ht="12.75" hidden="false" customHeight="false" outlineLevel="0" collapsed="false">
      <c r="A6" s="1" t="s">
        <v>3</v>
      </c>
      <c r="B6" s="15" t="n">
        <f aca="false">Stammdaten!B6</f>
        <v>0</v>
      </c>
      <c r="C6" s="15"/>
      <c r="D6" s="15"/>
      <c r="E6" s="15"/>
      <c r="F6" s="15"/>
      <c r="G6" s="15"/>
      <c r="H6" s="15"/>
      <c r="I6" s="16"/>
      <c r="J6" s="25" t="s">
        <v>27</v>
      </c>
      <c r="K6" s="25"/>
      <c r="L6" s="25"/>
      <c r="M6" s="29" t="s">
        <v>28</v>
      </c>
      <c r="N6" s="27" t="s">
        <v>29</v>
      </c>
      <c r="O6" s="26" t="s">
        <v>30</v>
      </c>
      <c r="P6" s="28" t="n">
        <v>10.83</v>
      </c>
    </row>
    <row r="7" customFormat="false" ht="12.75" hidden="false" customHeight="false" outlineLevel="0" collapsed="false">
      <c r="A7" s="1" t="s">
        <v>4</v>
      </c>
      <c r="B7" s="15" t="n">
        <f aca="false">Stammdaten!B7</f>
        <v>0</v>
      </c>
      <c r="C7" s="15"/>
      <c r="D7" s="15"/>
      <c r="E7" s="15"/>
      <c r="F7" s="15"/>
      <c r="G7" s="15"/>
      <c r="H7" s="15"/>
      <c r="I7" s="16"/>
      <c r="J7" s="25" t="s">
        <v>31</v>
      </c>
      <c r="K7" s="25"/>
      <c r="L7" s="25"/>
      <c r="M7" s="30" t="s">
        <v>32</v>
      </c>
      <c r="N7" s="27" t="s">
        <v>33</v>
      </c>
      <c r="O7" s="26" t="s">
        <v>34</v>
      </c>
      <c r="P7" s="28" t="n">
        <v>12.99</v>
      </c>
    </row>
    <row r="8" customFormat="false" ht="12.75" hidden="false" customHeight="false" outlineLevel="0" collapsed="false">
      <c r="A8" s="1" t="s">
        <v>5</v>
      </c>
      <c r="B8" s="15" t="n">
        <f aca="false">Stammdaten!B8</f>
        <v>0</v>
      </c>
      <c r="C8" s="15"/>
      <c r="D8" s="15"/>
      <c r="E8" s="15"/>
      <c r="F8" s="15"/>
      <c r="G8" s="15"/>
      <c r="H8" s="15"/>
      <c r="I8" s="31"/>
      <c r="J8" s="25" t="s">
        <v>35</v>
      </c>
      <c r="K8" s="25"/>
      <c r="L8" s="25"/>
      <c r="M8" s="26" t="s">
        <v>36</v>
      </c>
      <c r="N8" s="27" t="s">
        <v>37</v>
      </c>
      <c r="O8" s="26" t="s">
        <v>38</v>
      </c>
      <c r="P8" s="28" t="n">
        <v>17.32</v>
      </c>
    </row>
    <row r="9" customFormat="false" ht="12.75" hidden="false" customHeight="false" outlineLevel="0" collapsed="false">
      <c r="A9" s="1" t="s">
        <v>6</v>
      </c>
      <c r="B9" s="15" t="n">
        <f aca="false">Stammdaten!B9</f>
        <v>0</v>
      </c>
      <c r="C9" s="15"/>
      <c r="D9" s="15"/>
      <c r="E9" s="15"/>
      <c r="F9" s="15"/>
      <c r="G9" s="15"/>
      <c r="H9" s="15"/>
      <c r="I9" s="16"/>
      <c r="J9" s="25" t="s">
        <v>39</v>
      </c>
      <c r="K9" s="25"/>
      <c r="L9" s="25"/>
      <c r="M9" s="26" t="s">
        <v>40</v>
      </c>
      <c r="N9" s="27" t="s">
        <v>41</v>
      </c>
      <c r="O9" s="26" t="s">
        <v>42</v>
      </c>
      <c r="P9" s="28" t="n">
        <v>21.65</v>
      </c>
    </row>
    <row r="10" customFormat="false" ht="12.75" hidden="false" customHeight="false" outlineLevel="0" collapsed="false">
      <c r="A10" s="1" t="s">
        <v>7</v>
      </c>
      <c r="B10" s="15" t="n">
        <f aca="false">Stammdaten!B10</f>
        <v>0</v>
      </c>
      <c r="C10" s="15"/>
      <c r="D10" s="15"/>
      <c r="E10" s="15"/>
      <c r="F10" s="15"/>
      <c r="G10" s="15"/>
      <c r="H10" s="15"/>
      <c r="I10" s="16"/>
      <c r="J10" s="25" t="s">
        <v>43</v>
      </c>
      <c r="K10" s="25"/>
      <c r="L10" s="25"/>
      <c r="M10" s="26" t="s">
        <v>44</v>
      </c>
      <c r="N10" s="27"/>
      <c r="O10" s="26" t="s">
        <v>45</v>
      </c>
      <c r="P10" s="28" t="n">
        <v>26</v>
      </c>
    </row>
    <row r="11" customFormat="false" ht="12.75" hidden="false" customHeight="false" outlineLevel="0" collapsed="false">
      <c r="A11" s="1" t="s">
        <v>8</v>
      </c>
      <c r="B11" s="15" t="n">
        <f aca="false">Stammdaten!B11</f>
        <v>0</v>
      </c>
      <c r="C11" s="15"/>
      <c r="D11" s="15"/>
      <c r="E11" s="15"/>
      <c r="F11" s="15"/>
      <c r="G11" s="15"/>
      <c r="H11" s="15"/>
      <c r="I11" s="4"/>
      <c r="J11" s="25" t="s">
        <v>46</v>
      </c>
      <c r="K11" s="25"/>
      <c r="L11" s="25"/>
      <c r="M11" s="26" t="s">
        <v>47</v>
      </c>
      <c r="N11" s="27"/>
      <c r="O11" s="26" t="s">
        <v>48</v>
      </c>
      <c r="P11" s="28" t="n">
        <v>30.42</v>
      </c>
    </row>
    <row r="12" customFormat="false" ht="12.75" hidden="false" customHeight="false" outlineLevel="0" collapsed="false">
      <c r="A12" s="2"/>
      <c r="B12" s="15" t="n">
        <f aca="false">Stammdaten!B12</f>
        <v>0</v>
      </c>
      <c r="C12" s="15"/>
      <c r="D12" s="15"/>
      <c r="E12" s="15"/>
      <c r="F12" s="15"/>
      <c r="G12" s="15"/>
      <c r="H12" s="15"/>
      <c r="I12" s="31"/>
      <c r="J12" s="25" t="s">
        <v>49</v>
      </c>
      <c r="K12" s="25"/>
      <c r="L12" s="25"/>
      <c r="M12" s="26" t="s">
        <v>50</v>
      </c>
      <c r="N12" s="27"/>
      <c r="O12" s="26" t="s">
        <v>51</v>
      </c>
      <c r="P12" s="32" t="n">
        <v>2</v>
      </c>
    </row>
    <row r="13" customFormat="false" ht="12.75" hidden="false" customHeight="false" outlineLevel="0" collapsed="false">
      <c r="A13" s="1" t="s">
        <v>52</v>
      </c>
      <c r="B13" s="15" t="n">
        <f aca="false">Stammdaten!B13</f>
        <v>0</v>
      </c>
      <c r="C13" s="15"/>
      <c r="D13" s="15"/>
      <c r="E13" s="15"/>
      <c r="F13" s="15"/>
      <c r="G13" s="15"/>
      <c r="H13" s="15"/>
      <c r="I13" s="4"/>
      <c r="J13" s="25" t="s">
        <v>53</v>
      </c>
      <c r="K13" s="25"/>
      <c r="L13" s="25"/>
      <c r="M13" s="26" t="s">
        <v>54</v>
      </c>
      <c r="N13" s="27"/>
      <c r="O13" s="26" t="s">
        <v>55</v>
      </c>
      <c r="P13" s="28" t="n">
        <v>1</v>
      </c>
    </row>
    <row r="14" customFormat="false" ht="12.75" hidden="false" customHeight="false" outlineLevel="0" collapsed="false">
      <c r="A14" s="2"/>
      <c r="B14" s="15"/>
      <c r="C14" s="15"/>
      <c r="D14" s="15"/>
      <c r="E14" s="15"/>
      <c r="F14" s="15"/>
      <c r="G14" s="15"/>
      <c r="H14" s="15"/>
      <c r="I14" s="5"/>
      <c r="J14" s="25" t="s">
        <v>56</v>
      </c>
      <c r="K14" s="25"/>
      <c r="L14" s="25"/>
      <c r="M14" s="26" t="s">
        <v>56</v>
      </c>
      <c r="N14" s="27"/>
      <c r="O14" s="26" t="s">
        <v>57</v>
      </c>
      <c r="P14" s="28" t="n">
        <v>2.17</v>
      </c>
    </row>
    <row r="15" customFormat="false" ht="12.75" hidden="false" customHeight="false" outlineLevel="0" collapsed="false">
      <c r="A15" s="3" t="s">
        <v>10</v>
      </c>
      <c r="B15" s="15" t="n">
        <f aca="false">Stammdaten!B14</f>
        <v>0</v>
      </c>
      <c r="C15" s="15"/>
      <c r="D15" s="15"/>
      <c r="E15" s="15"/>
      <c r="F15" s="15"/>
      <c r="G15" s="15"/>
      <c r="H15" s="15"/>
      <c r="I15" s="5"/>
      <c r="J15" s="25" t="s">
        <v>58</v>
      </c>
      <c r="K15" s="25"/>
      <c r="L15" s="25"/>
      <c r="M15" s="29" t="s">
        <v>59</v>
      </c>
      <c r="N15" s="33"/>
      <c r="O15" s="30" t="s">
        <v>60</v>
      </c>
      <c r="P15" s="34"/>
    </row>
    <row r="16" customFormat="false" ht="12.75" hidden="false" customHeight="false" outlineLevel="0" collapsed="false">
      <c r="A16" s="2"/>
      <c r="B16" s="35"/>
      <c r="C16" s="35"/>
      <c r="D16" s="35"/>
      <c r="E16" s="35"/>
      <c r="F16" s="35"/>
      <c r="G16" s="36"/>
      <c r="H16" s="35"/>
      <c r="I16" s="5"/>
      <c r="J16" s="25" t="s">
        <v>61</v>
      </c>
      <c r="K16" s="25"/>
      <c r="L16" s="25"/>
      <c r="M16" s="29" t="s">
        <v>61</v>
      </c>
      <c r="N16" s="33"/>
      <c r="O16" s="30"/>
      <c r="P16" s="34"/>
    </row>
    <row r="17" customFormat="false" ht="12.75" hidden="false" customHeight="false" outlineLevel="0" collapsed="false">
      <c r="A17" s="3" t="s">
        <v>12</v>
      </c>
      <c r="B17" s="37" t="n">
        <f aca="false">Stammdaten!B16</f>
        <v>0</v>
      </c>
      <c r="C17" s="37"/>
      <c r="D17" s="37"/>
      <c r="E17" s="37"/>
      <c r="F17" s="37"/>
      <c r="G17" s="37"/>
      <c r="H17" s="37"/>
      <c r="I17" s="5"/>
      <c r="J17" s="25" t="s">
        <v>62</v>
      </c>
      <c r="K17" s="25"/>
      <c r="L17" s="25"/>
      <c r="M17" s="38" t="s">
        <v>62</v>
      </c>
      <c r="N17" s="33"/>
      <c r="O17" s="30"/>
      <c r="P17" s="34"/>
    </row>
    <row r="18" customFormat="false" ht="12.75" hidden="false" customHeight="false" outlineLevel="0" collapsed="false">
      <c r="A18" s="9"/>
      <c r="B18" s="39"/>
      <c r="C18" s="39"/>
      <c r="G18" s="14"/>
      <c r="I18" s="5"/>
      <c r="J18" s="25" t="s">
        <v>63</v>
      </c>
      <c r="K18" s="25"/>
      <c r="L18" s="25"/>
      <c r="M18" s="26" t="s">
        <v>63</v>
      </c>
      <c r="N18" s="40"/>
      <c r="O18" s="41"/>
      <c r="P18" s="42"/>
    </row>
    <row r="19" customFormat="false" ht="12.75" hidden="false" customHeight="false" outlineLevel="0" collapsed="false">
      <c r="A19" s="9"/>
      <c r="B19" s="39"/>
      <c r="C19" s="39"/>
      <c r="G19" s="14"/>
      <c r="I19" s="5"/>
      <c r="J19" s="43" t="s">
        <v>64</v>
      </c>
      <c r="K19" s="43"/>
      <c r="L19" s="43"/>
      <c r="M19" s="44" t="s">
        <v>65</v>
      </c>
      <c r="N19" s="45"/>
      <c r="O19" s="46"/>
      <c r="P19" s="47"/>
    </row>
    <row r="20" customFormat="false" ht="12.75" hidden="false" customHeight="false" outlineLevel="0" collapsed="false">
      <c r="A20" s="9"/>
      <c r="B20" s="39"/>
      <c r="C20" s="39"/>
      <c r="G20" s="14"/>
      <c r="I20" s="5"/>
      <c r="J20" s="5"/>
      <c r="K20" s="48"/>
      <c r="L20" s="48"/>
      <c r="M20" s="48"/>
      <c r="N20" s="48"/>
      <c r="O20" s="48"/>
      <c r="P20" s="48"/>
    </row>
    <row r="21" customFormat="false" ht="12.75" hidden="false" customHeight="false" outlineLevel="0" collapsed="false">
      <c r="G21" s="49"/>
      <c r="I21" s="4"/>
      <c r="J21" s="50"/>
      <c r="K21" s="51"/>
      <c r="L21" s="51"/>
      <c r="M21" s="51"/>
      <c r="N21" s="51"/>
      <c r="O21" s="51"/>
      <c r="P21" s="51"/>
    </row>
    <row r="22" customFormat="false" ht="12.75" hidden="false" customHeight="true" outlineLevel="0" collapsed="false">
      <c r="A22" s="52" t="s">
        <v>66</v>
      </c>
      <c r="B22" s="53" t="s">
        <v>67</v>
      </c>
      <c r="C22" s="54" t="s">
        <v>68</v>
      </c>
      <c r="D22" s="54" t="s">
        <v>69</v>
      </c>
      <c r="E22" s="55" t="s">
        <v>70</v>
      </c>
      <c r="F22" s="56" t="s">
        <v>71</v>
      </c>
      <c r="G22" s="57" t="s">
        <v>72</v>
      </c>
      <c r="H22" s="57" t="s">
        <v>73</v>
      </c>
      <c r="I22" s="57" t="s">
        <v>74</v>
      </c>
      <c r="J22" s="58" t="s">
        <v>75</v>
      </c>
      <c r="K22" s="53" t="s">
        <v>76</v>
      </c>
      <c r="L22" s="59"/>
      <c r="M22" s="59"/>
      <c r="N22" s="59"/>
      <c r="O22" s="59"/>
      <c r="P22" s="59"/>
      <c r="Q22" s="60"/>
      <c r="R22" s="61" t="s">
        <v>77</v>
      </c>
    </row>
    <row r="23" customFormat="false" ht="18" hidden="false" customHeight="true" outlineLevel="0" collapsed="false">
      <c r="A23" s="62"/>
      <c r="B23" s="63"/>
      <c r="C23" s="64"/>
      <c r="D23" s="64" t="s">
        <v>78</v>
      </c>
      <c r="E23" s="64" t="s">
        <v>78</v>
      </c>
      <c r="F23" s="65"/>
      <c r="G23" s="66"/>
      <c r="H23" s="67"/>
      <c r="I23" s="68"/>
      <c r="J23" s="69"/>
      <c r="K23" s="70" t="s">
        <v>79</v>
      </c>
      <c r="L23" s="71" t="s">
        <v>80</v>
      </c>
      <c r="M23" s="71" t="s">
        <v>81</v>
      </c>
      <c r="N23" s="71" t="s">
        <v>82</v>
      </c>
      <c r="O23" s="71" t="s">
        <v>83</v>
      </c>
      <c r="P23" s="71" t="s">
        <v>84</v>
      </c>
      <c r="Q23" s="72" t="s">
        <v>85</v>
      </c>
      <c r="R23" s="61"/>
    </row>
    <row r="24" customFormat="false" ht="12.75" hidden="false" customHeight="false" outlineLevel="0" collapsed="false">
      <c r="A24" s="73"/>
      <c r="B24" s="74"/>
      <c r="C24" s="75"/>
      <c r="D24" s="75"/>
      <c r="E24" s="76"/>
      <c r="F24" s="77"/>
      <c r="G24" s="78"/>
      <c r="H24" s="79"/>
      <c r="I24" s="80" t="s">
        <v>86</v>
      </c>
      <c r="J24" s="81"/>
      <c r="K24" s="82"/>
      <c r="L24" s="83"/>
      <c r="M24" s="83"/>
      <c r="N24" s="83"/>
      <c r="O24" s="83"/>
      <c r="P24" s="83"/>
      <c r="Q24" s="84"/>
      <c r="R24" s="61"/>
    </row>
    <row r="25" customFormat="false" ht="12.75" hidden="false" customHeight="false" outlineLevel="0" collapsed="false">
      <c r="A25" s="85"/>
      <c r="B25" s="86"/>
      <c r="C25" s="86"/>
      <c r="D25" s="86"/>
      <c r="E25" s="86"/>
      <c r="L25" s="87"/>
      <c r="M25" s="88"/>
      <c r="N25" s="88"/>
      <c r="O25" s="88"/>
      <c r="P25" s="89"/>
      <c r="Q25" s="87"/>
      <c r="R25" s="90"/>
    </row>
    <row r="26" customFormat="false" ht="12.75" hidden="false" customHeight="false" outlineLevel="0" collapsed="false">
      <c r="A26" s="91"/>
      <c r="B26" s="4"/>
      <c r="C26" s="92"/>
      <c r="D26" s="93"/>
      <c r="E26" s="93"/>
      <c r="F26" s="94" t="n">
        <f aca="false">SUM(C26*D26*E26)</f>
        <v>0</v>
      </c>
      <c r="G26" s="95"/>
      <c r="H26" s="96" t="n">
        <v>4.33</v>
      </c>
      <c r="I26" s="97" t="n">
        <f aca="false">$I$23</f>
        <v>0</v>
      </c>
      <c r="J26" s="98" t="str">
        <f aca="false">IFERROR((F26/G26*I26*H26),"")</f>
        <v/>
      </c>
      <c r="K26" s="98" t="str">
        <f aca="false">IFERROR((F26/G26),"")</f>
        <v/>
      </c>
      <c r="L26" s="99" t="str">
        <f aca="false">K26</f>
        <v/>
      </c>
      <c r="M26" s="100" t="str">
        <f aca="false">K26</f>
        <v/>
      </c>
      <c r="N26" s="100" t="str">
        <f aca="false">K26</f>
        <v/>
      </c>
      <c r="O26" s="100" t="str">
        <f aca="false">K26</f>
        <v/>
      </c>
      <c r="P26" s="101" t="str">
        <f aca="false">K26</f>
        <v/>
      </c>
      <c r="Q26" s="99" t="str">
        <f aca="false">K26</f>
        <v/>
      </c>
      <c r="R26" s="102" t="str">
        <f aca="false">IF(H26&lt;2.17,IF(Q26=0,"Fehler",""),IF(H26/4.33=COUNT(L26:P26),"","Fehler"))</f>
        <v>Fehler</v>
      </c>
    </row>
    <row r="27" customFormat="false" ht="12.75" hidden="false" customHeight="false" outlineLevel="0" collapsed="false">
      <c r="B27" s="4"/>
      <c r="C27" s="4"/>
      <c r="F27" s="103"/>
      <c r="G27" s="104"/>
      <c r="H27" s="96"/>
      <c r="I27" s="105"/>
      <c r="J27" s="106"/>
      <c r="K27" s="105"/>
      <c r="L27" s="100"/>
      <c r="M27" s="100"/>
      <c r="N27" s="100"/>
      <c r="O27" s="100"/>
      <c r="P27" s="100"/>
      <c r="Q27" s="100"/>
    </row>
    <row r="28" customFormat="false" ht="12.75" hidden="false" customHeight="false" outlineLevel="0" collapsed="false">
      <c r="A28" s="107" t="s">
        <v>87</v>
      </c>
      <c r="B28" s="108"/>
      <c r="C28" s="108"/>
      <c r="D28" s="108"/>
      <c r="E28" s="108"/>
      <c r="F28" s="109" t="n">
        <f aca="false">SUM(F26)</f>
        <v>0</v>
      </c>
      <c r="G28" s="110"/>
      <c r="H28" s="111"/>
      <c r="I28" s="112"/>
      <c r="J28" s="109" t="n">
        <f aca="false">SUM(J26)</f>
        <v>0</v>
      </c>
      <c r="K28" s="109" t="n">
        <f aca="false">SUM(K26)</f>
        <v>0</v>
      </c>
      <c r="L28" s="109" t="n">
        <f aca="false">SUM(L26)</f>
        <v>0</v>
      </c>
      <c r="M28" s="109" t="n">
        <f aca="false">SUM(M26)</f>
        <v>0</v>
      </c>
      <c r="N28" s="109" t="n">
        <f aca="false">SUM(N26)</f>
        <v>0</v>
      </c>
      <c r="O28" s="109" t="n">
        <f aca="false">SUM(O26)</f>
        <v>0</v>
      </c>
      <c r="P28" s="109" t="n">
        <f aca="false">SUM(P26)</f>
        <v>0</v>
      </c>
      <c r="Q28" s="109" t="n">
        <f aca="false">SUM(Q26)</f>
        <v>0</v>
      </c>
      <c r="R28" s="113" t="n">
        <f aca="false">SUM(L28:P28)</f>
        <v>0</v>
      </c>
      <c r="S28" s="114" t="n">
        <v>4.33</v>
      </c>
      <c r="T28" s="115" t="n">
        <f aca="false">SUM(R28*S28)</f>
        <v>0</v>
      </c>
      <c r="U28" s="116" t="n">
        <f aca="false">T28+Q27</f>
        <v>0</v>
      </c>
      <c r="V28" s="117" t="n">
        <f aca="false">SUM(U28*I23)</f>
        <v>0</v>
      </c>
    </row>
    <row r="29" customFormat="false" ht="12.75" hidden="false" customHeight="false" outlineLevel="0" collapsed="false">
      <c r="A29" s="118"/>
      <c r="F29" s="119"/>
      <c r="G29" s="120"/>
      <c r="H29" s="96"/>
      <c r="I29" s="121"/>
      <c r="J29" s="122"/>
      <c r="K29" s="123"/>
    </row>
    <row r="30" s="7" customFormat="true" ht="12.75" hidden="false" customHeight="false" outlineLevel="0" collapsed="false">
      <c r="A30" s="91" t="s">
        <v>88</v>
      </c>
      <c r="F30" s="121" t="n">
        <v>0</v>
      </c>
      <c r="G30" s="120" t="n">
        <v>100</v>
      </c>
      <c r="H30" s="121" t="n">
        <f aca="false">MAX(H26)</f>
        <v>4.33</v>
      </c>
      <c r="I30" s="124" t="n">
        <f aca="false">$I$23</f>
        <v>0</v>
      </c>
      <c r="J30" s="125" t="n">
        <f aca="false">ROUND(F30/G30*I30*H30,2)</f>
        <v>0</v>
      </c>
      <c r="K30" s="124" t="n">
        <f aca="false">F30/G30</f>
        <v>0</v>
      </c>
      <c r="L30" s="124" t="n">
        <f aca="false">K30</f>
        <v>0</v>
      </c>
      <c r="M30" s="124" t="n">
        <f aca="false">K30</f>
        <v>0</v>
      </c>
      <c r="N30" s="124" t="n">
        <f aca="false">K30</f>
        <v>0</v>
      </c>
      <c r="O30" s="124" t="n">
        <f aca="false">K30</f>
        <v>0</v>
      </c>
      <c r="P30" s="124" t="n">
        <f aca="false">K30</f>
        <v>0</v>
      </c>
      <c r="Q30" s="124" t="n">
        <f aca="false">K30</f>
        <v>0</v>
      </c>
    </row>
    <row r="31" s="7" customFormat="true" ht="12.75" hidden="false" customHeight="false" outlineLevel="0" collapsed="false">
      <c r="A31" s="91" t="s">
        <v>89</v>
      </c>
      <c r="F31" s="121" t="n">
        <v>0</v>
      </c>
      <c r="G31" s="120" t="n">
        <v>100</v>
      </c>
      <c r="H31" s="121" t="n">
        <f aca="false">MAX(H26)</f>
        <v>4.33</v>
      </c>
      <c r="I31" s="124" t="n">
        <f aca="false">$I$23</f>
        <v>0</v>
      </c>
      <c r="J31" s="125" t="n">
        <f aca="false">ROUND(F31/G31*I31*H31,2)</f>
        <v>0</v>
      </c>
      <c r="K31" s="124" t="n">
        <f aca="false">F31/G31</f>
        <v>0</v>
      </c>
      <c r="L31" s="124" t="n">
        <f aca="false">K31</f>
        <v>0</v>
      </c>
      <c r="M31" s="124" t="n">
        <f aca="false">K31</f>
        <v>0</v>
      </c>
      <c r="N31" s="124" t="n">
        <f aca="false">K31</f>
        <v>0</v>
      </c>
      <c r="O31" s="124" t="n">
        <f aca="false">K31</f>
        <v>0</v>
      </c>
      <c r="P31" s="124" t="n">
        <f aca="false">K31</f>
        <v>0</v>
      </c>
      <c r="Q31" s="124" t="n">
        <f aca="false">K31</f>
        <v>0</v>
      </c>
    </row>
    <row r="32" customFormat="false" ht="12.75" hidden="false" customHeight="false" outlineLevel="0" collapsed="false">
      <c r="A32" s="85"/>
      <c r="F32" s="96"/>
      <c r="G32" s="120"/>
      <c r="H32" s="96"/>
      <c r="I32" s="121"/>
      <c r="K32" s="121"/>
    </row>
    <row r="33" customFormat="false" ht="12.75" hidden="false" customHeight="false" outlineLevel="0" collapsed="false">
      <c r="A33" s="126" t="s">
        <v>90</v>
      </c>
      <c r="B33" s="127"/>
      <c r="C33" s="127"/>
      <c r="D33" s="127"/>
      <c r="E33" s="127"/>
      <c r="F33" s="128"/>
      <c r="G33" s="129"/>
      <c r="H33" s="128"/>
      <c r="I33" s="128"/>
      <c r="J33" s="130" t="n">
        <f aca="false">SUM(J28,J30:J31)</f>
        <v>0</v>
      </c>
      <c r="K33" s="131" t="n">
        <f aca="false">SUM(K28,K30:K31)</f>
        <v>0</v>
      </c>
      <c r="L33" s="130" t="n">
        <f aca="false">SUM(L28,L30:L31)</f>
        <v>0</v>
      </c>
      <c r="M33" s="130" t="n">
        <f aca="false">SUM(M28,M30:M31)</f>
        <v>0</v>
      </c>
      <c r="N33" s="130" t="n">
        <f aca="false">SUM(N28,N30:N31)</f>
        <v>0</v>
      </c>
      <c r="O33" s="130" t="n">
        <f aca="false">SUM(O28,O30:O31)</f>
        <v>0</v>
      </c>
      <c r="P33" s="130" t="n">
        <f aca="false">SUM(P28,P30:P31)</f>
        <v>0</v>
      </c>
      <c r="Q33" s="130" t="n">
        <f aca="false">SUM(Q28,Q30:Q31)</f>
        <v>0</v>
      </c>
      <c r="R33" s="132" t="n">
        <f aca="false">SUM(L33:P33)</f>
        <v>0</v>
      </c>
      <c r="S33" s="133" t="n">
        <v>4.33</v>
      </c>
      <c r="T33" s="134" t="n">
        <f aca="false">SUM(R33*S33)</f>
        <v>0</v>
      </c>
      <c r="U33" s="134" t="n">
        <f aca="false">T33+Q33</f>
        <v>0</v>
      </c>
      <c r="V33" s="135" t="n">
        <f aca="false">SUM(U33*I23)</f>
        <v>0</v>
      </c>
    </row>
    <row r="34" customFormat="false" ht="12.75" hidden="false" customHeight="false" outlineLevel="0" collapsed="false">
      <c r="F34" s="96"/>
      <c r="G34" s="100"/>
      <c r="H34" s="96"/>
      <c r="I34" s="96"/>
      <c r="K34" s="121"/>
    </row>
    <row r="35" customFormat="false" ht="12.75" hidden="false" customHeight="false" outlineLevel="0" collapsed="false">
      <c r="A35" s="136" t="s">
        <v>91</v>
      </c>
      <c r="B35" s="137"/>
      <c r="C35" s="137"/>
      <c r="D35" s="137"/>
      <c r="E35" s="137"/>
      <c r="F35" s="138"/>
      <c r="G35" s="139"/>
      <c r="H35" s="138"/>
      <c r="I35" s="138"/>
      <c r="J35" s="140"/>
      <c r="K35" s="141"/>
    </row>
    <row r="36" customFormat="false" ht="12.75" hidden="false" customHeight="false" outlineLevel="0" collapsed="false">
      <c r="A36" s="142" t="s">
        <v>92</v>
      </c>
      <c r="B36" s="143"/>
      <c r="C36" s="143"/>
      <c r="D36" s="143"/>
      <c r="E36" s="143"/>
      <c r="F36" s="144"/>
      <c r="G36" s="145"/>
      <c r="H36" s="144" t="s">
        <v>93</v>
      </c>
      <c r="I36" s="144"/>
      <c r="J36" s="146" t="n">
        <f aca="false">SUM(J33*J35)</f>
        <v>0</v>
      </c>
      <c r="K36" s="147"/>
      <c r="T36" s="148"/>
    </row>
    <row r="37" customFormat="false" ht="12.75" hidden="false" customHeight="false" outlineLevel="0" collapsed="false">
      <c r="A37" s="149" t="s">
        <v>94</v>
      </c>
      <c r="B37" s="150"/>
      <c r="C37" s="150"/>
      <c r="D37" s="150"/>
      <c r="E37" s="150"/>
      <c r="F37" s="150"/>
      <c r="G37" s="151"/>
      <c r="H37" s="150"/>
      <c r="I37" s="152"/>
      <c r="J37" s="153" t="n">
        <f aca="false">SUM(J33,J36)</f>
        <v>0</v>
      </c>
      <c r="K37" s="152"/>
      <c r="T37" s="148"/>
    </row>
    <row r="38" customFormat="false" ht="12.75" hidden="false" customHeight="false" outlineLevel="0" collapsed="false">
      <c r="A38" s="10"/>
      <c r="J38" s="154"/>
      <c r="T38" s="148"/>
    </row>
    <row r="49" customFormat="false" ht="12.75" hidden="false" customHeight="false" outlineLevel="0" collapsed="false">
      <c r="L49" s="155"/>
    </row>
    <row r="50" customFormat="false" ht="12.75" hidden="false" customHeight="false" outlineLevel="0" collapsed="false">
      <c r="L50" s="155"/>
    </row>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36">
    <mergeCell ref="E1:F1"/>
    <mergeCell ref="G1:H1"/>
    <mergeCell ref="B3:H3"/>
    <mergeCell ref="J3:L3"/>
    <mergeCell ref="O3:P3"/>
    <mergeCell ref="B4:H4"/>
    <mergeCell ref="J4:L4"/>
    <mergeCell ref="B5:H5"/>
    <mergeCell ref="J5:L5"/>
    <mergeCell ref="B6:H6"/>
    <mergeCell ref="J6:L6"/>
    <mergeCell ref="B7:H7"/>
    <mergeCell ref="J7:L7"/>
    <mergeCell ref="B8:H8"/>
    <mergeCell ref="J8:L8"/>
    <mergeCell ref="B9:H9"/>
    <mergeCell ref="J9:L9"/>
    <mergeCell ref="B10:H10"/>
    <mergeCell ref="J10:L10"/>
    <mergeCell ref="B11:H11"/>
    <mergeCell ref="J11:L11"/>
    <mergeCell ref="B12:H12"/>
    <mergeCell ref="J12:L12"/>
    <mergeCell ref="B13:H13"/>
    <mergeCell ref="J13:L13"/>
    <mergeCell ref="B14:H14"/>
    <mergeCell ref="J14:L14"/>
    <mergeCell ref="B15:H15"/>
    <mergeCell ref="J15:L15"/>
    <mergeCell ref="J16:L16"/>
    <mergeCell ref="B17:H17"/>
    <mergeCell ref="J17:L17"/>
    <mergeCell ref="J18:L18"/>
    <mergeCell ref="J19:L19"/>
    <mergeCell ref="K21:P21"/>
    <mergeCell ref="R22:R24"/>
  </mergeCells>
  <dataValidations count="4">
    <dataValidation allowBlank="true" errorStyle="stop" operator="between" showDropDown="false" showErrorMessage="true" showInputMessage="true" sqref="B27:C27" type="list">
      <formula1>#ref!</formula1>
      <formula2>0</formula2>
    </dataValidation>
    <dataValidation allowBlank="true" errorStyle="stop" operator="between" showDropDown="false" showErrorMessage="true" showInputMessage="true" sqref="H26" type="list">
      <formula1>#REF!</formula1>
      <formula2>0</formula2>
    </dataValidation>
    <dataValidation allowBlank="false" errorStyle="stop" operator="between" showDropDown="false" showErrorMessage="true" showInputMessage="true" sqref="B26" type="list">
      <formula1>#REF!</formula1>
      <formula2>0</formula2>
    </dataValidation>
    <dataValidation allowBlank="false" errorStyle="stop" operator="between" showDropDown="false" showErrorMessage="true" showInputMessage="true" sqref="H30:H31" type="none">
      <formula1>0</formula1>
      <formula2>0</formula2>
    </dataValidation>
  </dataValidations>
  <printOptions headings="false" gridLines="true" gridLinesSet="true" horizontalCentered="true" verticalCentered="false"/>
  <pageMargins left="0.39375" right="0.39375" top="0.196527777777778" bottom="0.196527777777778" header="0.511805555555556" footer="0.511805555555556"/>
  <pageSetup paperSize="9" scale="64" fitToWidth="1" fitToHeight="1" pageOrder="downThenOver" orientation="landscape" blackAndWhite="false" draft="false" cellComments="none" horizontalDpi="300" verticalDpi="300" copies="1"/>
  <headerFooter differentFirst="false" differentOddEven="false">
    <oddHeader>&amp;C&amp;F</oddHeader>
    <oddFooter>&amp;CSeite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0" activeCellId="0" sqref="B20"/>
    </sheetView>
  </sheetViews>
  <sheetFormatPr defaultColWidth="10.59375" defaultRowHeight="12.75" customHeight="false" zeroHeight="false" outlineLevelRow="0" outlineLevelCol="0"/>
  <cols>
    <col collapsed="false" customWidth="true" hidden="false" outlineLevel="0" max="1" min="1" style="0" width="24.14"/>
    <col collapsed="false" customWidth="true" hidden="false" outlineLevel="0" max="4" min="4" style="0" width="6.29"/>
  </cols>
  <sheetData>
    <row r="1" customFormat="false" ht="21" hidden="false" customHeight="true" outlineLevel="0" collapsed="false"/>
    <row r="2" customFormat="false" ht="21" hidden="false" customHeight="true" outlineLevel="0" collapsed="false">
      <c r="B2" s="156"/>
      <c r="C2" s="156"/>
      <c r="D2" s="156"/>
      <c r="E2" s="156"/>
      <c r="F2" s="156"/>
      <c r="G2" s="156"/>
    </row>
    <row r="3" customFormat="false" ht="21" hidden="false" customHeight="true" outlineLevel="0" collapsed="false">
      <c r="A3" s="157" t="s">
        <v>95</v>
      </c>
      <c r="B3" s="157"/>
      <c r="C3" s="157"/>
      <c r="D3" s="157"/>
      <c r="E3" s="157"/>
      <c r="F3" s="157"/>
      <c r="G3" s="157"/>
      <c r="H3" s="158" t="s">
        <v>96</v>
      </c>
      <c r="I3" s="158"/>
      <c r="J3" s="158"/>
      <c r="K3" s="158"/>
      <c r="L3" s="158"/>
      <c r="M3" s="158"/>
      <c r="N3" s="158"/>
    </row>
    <row r="4" customFormat="false" ht="21" hidden="false" customHeight="true" outlineLevel="0" collapsed="false">
      <c r="A4" s="157"/>
      <c r="B4" s="157"/>
      <c r="C4" s="157"/>
      <c r="D4" s="157"/>
      <c r="E4" s="157"/>
      <c r="F4" s="157"/>
      <c r="G4" s="157"/>
      <c r="H4" s="158"/>
      <c r="I4" s="158"/>
      <c r="J4" s="158"/>
      <c r="K4" s="158"/>
      <c r="L4" s="158"/>
      <c r="M4" s="158"/>
      <c r="N4" s="158"/>
    </row>
    <row r="5" customFormat="false" ht="21" hidden="false" customHeight="true" outlineLevel="0" collapsed="false">
      <c r="H5" s="158"/>
      <c r="I5" s="158"/>
      <c r="J5" s="158"/>
      <c r="K5" s="158"/>
      <c r="L5" s="158"/>
      <c r="M5" s="158"/>
      <c r="N5" s="158"/>
    </row>
    <row r="6" customFormat="false" ht="21" hidden="false" customHeight="true" outlineLevel="0" collapsed="false">
      <c r="H6" s="158"/>
      <c r="I6" s="158"/>
      <c r="J6" s="158"/>
      <c r="K6" s="158"/>
      <c r="L6" s="158"/>
      <c r="M6" s="158"/>
      <c r="N6" s="158"/>
    </row>
    <row r="7" customFormat="false" ht="21" hidden="false" customHeight="true" outlineLevel="0" collapsed="false">
      <c r="H7" s="158"/>
      <c r="I7" s="158"/>
      <c r="J7" s="158"/>
      <c r="K7" s="158"/>
      <c r="L7" s="158"/>
      <c r="M7" s="158"/>
      <c r="N7" s="158"/>
    </row>
    <row r="8" customFormat="false" ht="21" hidden="false" customHeight="true" outlineLevel="0" collapsed="false">
      <c r="H8" s="158"/>
      <c r="I8" s="158"/>
      <c r="J8" s="158"/>
      <c r="K8" s="158"/>
      <c r="L8" s="158"/>
      <c r="M8" s="158"/>
      <c r="N8" s="158"/>
    </row>
    <row r="9" customFormat="false" ht="21" hidden="false" customHeight="true" outlineLevel="0" collapsed="false">
      <c r="H9" s="158"/>
      <c r="I9" s="158"/>
      <c r="J9" s="158"/>
      <c r="K9" s="158"/>
      <c r="L9" s="158"/>
      <c r="M9" s="158"/>
      <c r="N9" s="158"/>
    </row>
    <row r="10" customFormat="false" ht="21" hidden="false" customHeight="true" outlineLevel="0" collapsed="false">
      <c r="A10" s="159" t="s">
        <v>97</v>
      </c>
      <c r="B10" s="160" t="n">
        <f aca="false">Stammdaten!B3</f>
        <v>0</v>
      </c>
      <c r="C10" s="160"/>
      <c r="D10" s="160"/>
      <c r="E10" s="160"/>
      <c r="F10" s="160"/>
      <c r="H10" s="158"/>
      <c r="I10" s="158"/>
      <c r="J10" s="158"/>
      <c r="K10" s="158"/>
      <c r="L10" s="158"/>
      <c r="M10" s="158"/>
      <c r="N10" s="158"/>
    </row>
    <row r="11" customFormat="false" ht="21" hidden="false" customHeight="true" outlineLevel="0" collapsed="false">
      <c r="A11" s="161"/>
      <c r="B11" s="161"/>
      <c r="H11" s="158"/>
      <c r="I11" s="158"/>
      <c r="J11" s="158"/>
      <c r="K11" s="158"/>
      <c r="L11" s="158"/>
      <c r="M11" s="158"/>
      <c r="N11" s="158"/>
    </row>
    <row r="12" customFormat="false" ht="21" hidden="false" customHeight="true" outlineLevel="0" collapsed="false">
      <c r="A12" s="159" t="s">
        <v>98</v>
      </c>
      <c r="B12" s="160" t="n">
        <f aca="false">Stammdaten!B13</f>
        <v>0</v>
      </c>
      <c r="C12" s="160"/>
      <c r="D12" s="160"/>
      <c r="E12" s="160"/>
      <c r="F12" s="160"/>
      <c r="H12" s="158"/>
      <c r="I12" s="158"/>
      <c r="J12" s="158"/>
      <c r="K12" s="158"/>
      <c r="L12" s="158"/>
      <c r="M12" s="158"/>
      <c r="N12" s="158"/>
    </row>
    <row r="13" customFormat="false" ht="21" hidden="false" customHeight="true" outlineLevel="0" collapsed="false">
      <c r="C13" s="161"/>
      <c r="D13" s="161"/>
      <c r="E13" s="161"/>
      <c r="F13" s="161"/>
      <c r="H13" s="158"/>
      <c r="I13" s="158"/>
      <c r="J13" s="158"/>
      <c r="K13" s="158"/>
      <c r="L13" s="158"/>
      <c r="M13" s="158"/>
      <c r="N13" s="158"/>
    </row>
    <row r="14" customFormat="false" ht="21" hidden="false" customHeight="true" outlineLevel="0" collapsed="false">
      <c r="A14" s="159" t="s">
        <v>99</v>
      </c>
      <c r="B14" s="162"/>
      <c r="C14" s="163"/>
      <c r="D14" s="164" t="s">
        <v>100</v>
      </c>
      <c r="E14" s="164"/>
      <c r="F14" s="165"/>
      <c r="H14" s="158"/>
      <c r="I14" s="158"/>
      <c r="J14" s="158"/>
      <c r="K14" s="158"/>
      <c r="L14" s="158"/>
      <c r="M14" s="158"/>
      <c r="N14" s="158"/>
    </row>
    <row r="15" customFormat="false" ht="21" hidden="false" customHeight="true" outlineLevel="0" collapsed="false">
      <c r="C15" s="161"/>
      <c r="D15" s="161"/>
      <c r="E15" s="161"/>
      <c r="F15" s="161"/>
      <c r="H15" s="158"/>
      <c r="I15" s="158"/>
      <c r="J15" s="158"/>
      <c r="K15" s="158"/>
      <c r="L15" s="158"/>
      <c r="M15" s="158"/>
      <c r="N15" s="158"/>
    </row>
    <row r="16" customFormat="false" ht="21" hidden="false" customHeight="true" outlineLevel="0" collapsed="false">
      <c r="A16" s="159" t="s">
        <v>101</v>
      </c>
      <c r="B16" s="166"/>
      <c r="C16" s="166"/>
      <c r="D16" s="166"/>
      <c r="E16" s="161"/>
      <c r="F16" s="161"/>
      <c r="H16" s="158"/>
      <c r="I16" s="158"/>
      <c r="J16" s="158"/>
      <c r="K16" s="158"/>
      <c r="L16" s="158"/>
      <c r="M16" s="158"/>
      <c r="N16" s="158"/>
    </row>
    <row r="17" customFormat="false" ht="21" hidden="false" customHeight="true" outlineLevel="0" collapsed="false">
      <c r="A17" s="167"/>
      <c r="B17" s="167"/>
      <c r="C17" s="167"/>
      <c r="D17" s="167"/>
      <c r="E17" s="167"/>
      <c r="F17" s="167"/>
      <c r="H17" s="158"/>
      <c r="I17" s="158"/>
      <c r="J17" s="158"/>
      <c r="K17" s="158"/>
      <c r="L17" s="158"/>
      <c r="M17" s="158"/>
      <c r="N17" s="158"/>
    </row>
    <row r="18" customFormat="false" ht="21" hidden="false" customHeight="true" outlineLevel="0" collapsed="false">
      <c r="A18" s="168" t="s">
        <v>102</v>
      </c>
      <c r="B18" s="169"/>
      <c r="H18" s="158"/>
      <c r="I18" s="158"/>
      <c r="J18" s="158"/>
      <c r="K18" s="158"/>
      <c r="L18" s="158"/>
      <c r="M18" s="158"/>
      <c r="N18" s="158"/>
    </row>
    <row r="19" customFormat="false" ht="21" hidden="false" customHeight="true" outlineLevel="0" collapsed="false">
      <c r="H19" s="158"/>
      <c r="I19" s="158"/>
      <c r="J19" s="158"/>
      <c r="K19" s="158"/>
      <c r="L19" s="158"/>
      <c r="M19" s="158"/>
      <c r="N19" s="158"/>
    </row>
    <row r="20" customFormat="false" ht="21" hidden="false" customHeight="true" outlineLevel="0" collapsed="false">
      <c r="A20" s="159" t="s">
        <v>103</v>
      </c>
      <c r="B20" s="170"/>
      <c r="C20" s="170"/>
      <c r="D20" s="170"/>
      <c r="E20" s="170"/>
      <c r="F20" s="170"/>
      <c r="H20" s="158"/>
      <c r="I20" s="158"/>
      <c r="J20" s="158"/>
      <c r="K20" s="158"/>
      <c r="L20" s="158"/>
      <c r="M20" s="158"/>
      <c r="N20" s="158"/>
    </row>
    <row r="21" customFormat="false" ht="21" hidden="false" customHeight="true" outlineLevel="0" collapsed="false">
      <c r="B21" s="161"/>
      <c r="C21" s="167"/>
      <c r="D21" s="167"/>
      <c r="E21" s="167"/>
      <c r="F21" s="167"/>
      <c r="H21" s="158"/>
      <c r="I21" s="158"/>
      <c r="J21" s="158"/>
      <c r="K21" s="158"/>
      <c r="L21" s="158"/>
      <c r="M21" s="158"/>
      <c r="N21" s="158"/>
    </row>
    <row r="22" customFormat="false" ht="21" hidden="false" customHeight="true" outlineLevel="0" collapsed="false">
      <c r="A22" s="159" t="s">
        <v>104</v>
      </c>
      <c r="B22" s="165"/>
      <c r="C22" s="165"/>
      <c r="D22" s="165"/>
      <c r="E22" s="165"/>
      <c r="F22" s="165"/>
      <c r="H22" s="158"/>
      <c r="I22" s="158"/>
      <c r="J22" s="158"/>
      <c r="K22" s="158"/>
      <c r="L22" s="158"/>
      <c r="M22" s="158"/>
      <c r="N22" s="158"/>
    </row>
    <row r="23" customFormat="false" ht="21" hidden="false" customHeight="true" outlineLevel="0" collapsed="false">
      <c r="H23" s="158"/>
      <c r="I23" s="158"/>
      <c r="J23" s="158"/>
      <c r="K23" s="158"/>
      <c r="L23" s="158"/>
      <c r="M23" s="158"/>
      <c r="N23" s="158"/>
    </row>
    <row r="24" customFormat="false" ht="21" hidden="false" customHeight="true" outlineLevel="0" collapsed="false">
      <c r="A24" s="171"/>
      <c r="B24" s="167"/>
      <c r="C24" s="167"/>
      <c r="D24" s="167"/>
      <c r="E24" s="167"/>
      <c r="F24" s="167"/>
      <c r="H24" s="158"/>
      <c r="I24" s="158"/>
      <c r="J24" s="158"/>
      <c r="K24" s="158"/>
      <c r="L24" s="158"/>
      <c r="M24" s="158"/>
      <c r="N24" s="158"/>
    </row>
    <row r="25" customFormat="false" ht="21" hidden="false" customHeight="true" outlineLevel="0" collapsed="false">
      <c r="A25" s="171" t="s">
        <v>105</v>
      </c>
      <c r="B25" s="167"/>
      <c r="C25" s="172" t="s">
        <v>106</v>
      </c>
      <c r="D25" s="172"/>
      <c r="E25" s="172"/>
      <c r="F25" s="173"/>
      <c r="H25" s="158"/>
      <c r="I25" s="158"/>
      <c r="J25" s="158"/>
      <c r="K25" s="158"/>
      <c r="L25" s="158"/>
      <c r="M25" s="158"/>
      <c r="N25" s="158"/>
    </row>
    <row r="26" customFormat="false" ht="21" hidden="false" customHeight="true" outlineLevel="0" collapsed="false">
      <c r="A26" s="167"/>
      <c r="B26" s="167"/>
      <c r="C26" s="172"/>
      <c r="D26" s="172"/>
      <c r="E26" s="172"/>
      <c r="F26" s="173"/>
      <c r="H26" s="158"/>
      <c r="I26" s="158"/>
      <c r="J26" s="158"/>
      <c r="K26" s="158"/>
      <c r="L26" s="158"/>
      <c r="M26" s="158"/>
      <c r="N26" s="158"/>
    </row>
    <row r="27" customFormat="false" ht="21" hidden="false" customHeight="true" outlineLevel="0" collapsed="false">
      <c r="C27" s="172"/>
      <c r="D27" s="172"/>
      <c r="E27" s="172"/>
      <c r="F27" s="173"/>
      <c r="H27" s="158"/>
      <c r="I27" s="158"/>
      <c r="J27" s="158"/>
      <c r="K27" s="158"/>
      <c r="L27" s="158"/>
      <c r="M27" s="158"/>
      <c r="N27" s="158"/>
    </row>
    <row r="28" customFormat="false" ht="21" hidden="false" customHeight="true" outlineLevel="0" collapsed="false">
      <c r="A28" s="174" t="s">
        <v>107</v>
      </c>
      <c r="B28" s="167"/>
      <c r="C28" s="175" t="s">
        <v>108</v>
      </c>
      <c r="D28" s="176"/>
      <c r="E28" s="176"/>
      <c r="H28" s="158"/>
      <c r="I28" s="158"/>
      <c r="J28" s="158"/>
      <c r="K28" s="158"/>
      <c r="L28" s="158"/>
      <c r="M28" s="158"/>
      <c r="N28" s="158"/>
    </row>
    <row r="29" customFormat="false" ht="21" hidden="false" customHeight="true" outlineLevel="0" collapsed="false">
      <c r="A29" s="168" t="s">
        <v>109</v>
      </c>
      <c r="B29" s="177"/>
      <c r="C29" s="163" t="s">
        <v>110</v>
      </c>
      <c r="D29" s="177"/>
      <c r="E29" s="177"/>
      <c r="F29" s="167"/>
      <c r="G29" s="175"/>
      <c r="H29" s="158"/>
      <c r="I29" s="158"/>
      <c r="J29" s="158"/>
      <c r="K29" s="158"/>
      <c r="L29" s="158"/>
      <c r="M29" s="158"/>
      <c r="N29" s="158"/>
    </row>
    <row r="30" customFormat="false" ht="21" hidden="false" customHeight="true" outlineLevel="0" collapsed="false">
      <c r="A30" s="167"/>
      <c r="B30" s="167"/>
      <c r="C30" s="167"/>
      <c r="D30" s="167"/>
      <c r="E30" s="167"/>
      <c r="F30" s="167"/>
      <c r="G30" s="175"/>
      <c r="H30" s="158"/>
      <c r="I30" s="158"/>
      <c r="J30" s="158"/>
      <c r="K30" s="158"/>
      <c r="L30" s="158"/>
      <c r="M30" s="158"/>
      <c r="N30" s="158"/>
    </row>
    <row r="31" customFormat="false" ht="21" hidden="false" customHeight="true" outlineLevel="0" collapsed="false">
      <c r="F31" s="167"/>
      <c r="G31" s="175"/>
      <c r="H31" s="158"/>
      <c r="I31" s="158"/>
      <c r="J31" s="158"/>
      <c r="K31" s="158"/>
      <c r="L31" s="158"/>
      <c r="M31" s="158"/>
      <c r="N31" s="158"/>
    </row>
    <row r="32" customFormat="false" ht="21" hidden="false" customHeight="true" outlineLevel="0" collapsed="false">
      <c r="F32" s="167"/>
      <c r="G32" s="175"/>
      <c r="H32" s="158"/>
      <c r="I32" s="158"/>
      <c r="J32" s="158"/>
      <c r="K32" s="158"/>
      <c r="L32" s="158"/>
      <c r="M32" s="158"/>
      <c r="N32" s="158"/>
    </row>
    <row r="33" customFormat="false" ht="21" hidden="false" customHeight="true" outlineLevel="0" collapsed="false">
      <c r="F33" s="167"/>
      <c r="H33" s="158"/>
      <c r="I33" s="158"/>
      <c r="J33" s="158"/>
      <c r="K33" s="158"/>
      <c r="L33" s="158"/>
      <c r="M33" s="158"/>
      <c r="N33" s="158"/>
    </row>
    <row r="34" customFormat="false" ht="21" hidden="false" customHeight="true" outlineLevel="0" collapsed="false">
      <c r="F34" s="167"/>
      <c r="H34" s="158"/>
      <c r="I34" s="158"/>
      <c r="J34" s="158"/>
      <c r="K34" s="158"/>
      <c r="L34" s="158"/>
      <c r="M34" s="158"/>
      <c r="N34" s="158"/>
    </row>
    <row r="35" customFormat="false" ht="15" hidden="false" customHeight="false" outlineLevel="0" collapsed="false">
      <c r="F35" s="177"/>
      <c r="G35" s="178"/>
      <c r="H35" s="158"/>
      <c r="I35" s="158"/>
      <c r="J35" s="158"/>
      <c r="K35" s="158"/>
      <c r="L35" s="158"/>
      <c r="M35" s="158"/>
      <c r="N35" s="158"/>
    </row>
    <row r="36" customFormat="false" ht="15" hidden="false" customHeight="false" outlineLevel="0" collapsed="false">
      <c r="F36" s="167"/>
    </row>
    <row r="37" customFormat="false" ht="15" hidden="false" customHeight="false" outlineLevel="0" collapsed="false">
      <c r="A37" s="178"/>
      <c r="B37" s="178"/>
      <c r="C37" s="178"/>
      <c r="D37" s="178"/>
      <c r="E37" s="178"/>
      <c r="F37" s="178"/>
      <c r="G37" s="178"/>
    </row>
    <row r="38" customFormat="false" ht="15" hidden="false" customHeight="false" outlineLevel="0" collapsed="false">
      <c r="E38" s="178"/>
      <c r="F38" s="178"/>
      <c r="G38" s="178"/>
    </row>
  </sheetData>
  <sheetProtection sheet="true" objects="true" scenarios="true"/>
  <mergeCells count="9">
    <mergeCell ref="A3:G4"/>
    <mergeCell ref="H3:N35"/>
    <mergeCell ref="B10:F10"/>
    <mergeCell ref="B12:F12"/>
    <mergeCell ref="D14:E14"/>
    <mergeCell ref="B16:D16"/>
    <mergeCell ref="B20:F20"/>
    <mergeCell ref="B22:F22"/>
    <mergeCell ref="C25:E27"/>
  </mergeCells>
  <printOptions headings="false" gridLines="false" gridLinesSet="true" horizontalCentered="false" verticalCentered="false"/>
  <pageMargins left="0.7" right="0.7" top="0.648611111111111" bottom="0.78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BC59"/>
  <sheetViews>
    <sheetView showFormulas="false" showGridLines="true" showRowColHeaders="true" showZeros="true" rightToLeft="false" tabSelected="false" showOutlineSymbols="true" defaultGridColor="true" view="normal" topLeftCell="A1" colorId="64" zoomScale="80" zoomScaleNormal="80" zoomScalePageLayoutView="80" workbookViewId="0">
      <selection pane="topLeft" activeCell="G1" activeCellId="0" sqref="G1"/>
    </sheetView>
  </sheetViews>
  <sheetFormatPr defaultColWidth="10.59375" defaultRowHeight="12.75" customHeight="false" zeroHeight="false" outlineLevelRow="0" outlineLevelCol="0"/>
  <cols>
    <col collapsed="false" customWidth="true" hidden="false" outlineLevel="0" max="1" min="1" style="0" width="20.43"/>
    <col collapsed="false" customWidth="true" hidden="false" outlineLevel="0" max="2" min="2" style="0" width="8.71"/>
    <col collapsed="false" customWidth="true" hidden="false" outlineLevel="0" max="3" min="3" style="0" width="9.14"/>
    <col collapsed="false" customWidth="true" hidden="false" outlineLevel="0" max="54" min="4" style="0" width="4.29"/>
    <col collapsed="false" customWidth="true" hidden="false" outlineLevel="0" max="55" min="55" style="0" width="8.29"/>
  </cols>
  <sheetData>
    <row r="1" customFormat="false" ht="26.25" hidden="false" customHeight="true" outlineLevel="0" collapsed="false">
      <c r="A1" s="179" t="s">
        <v>111</v>
      </c>
      <c r="B1" s="180"/>
      <c r="C1" s="180"/>
      <c r="D1" s="181" t="s">
        <v>98</v>
      </c>
      <c r="E1" s="181"/>
      <c r="F1" s="181"/>
      <c r="G1" s="181" t="n">
        <f aca="false">Stammdaten!B13</f>
        <v>0</v>
      </c>
      <c r="H1" s="181"/>
      <c r="I1" s="181"/>
      <c r="J1" s="181"/>
      <c r="K1" s="181"/>
      <c r="L1" s="181"/>
      <c r="M1" s="181"/>
      <c r="N1" s="181"/>
      <c r="O1" s="181"/>
      <c r="P1" s="181"/>
      <c r="Q1" s="181"/>
      <c r="R1" s="181"/>
      <c r="S1" s="181"/>
      <c r="T1" s="181"/>
      <c r="U1" s="181"/>
      <c r="V1" s="181"/>
      <c r="W1" s="181"/>
      <c r="X1" s="181"/>
      <c r="Y1" s="181"/>
      <c r="Z1" s="181"/>
      <c r="AA1" s="181"/>
      <c r="AB1" s="181"/>
      <c r="AC1" s="181"/>
      <c r="AD1" s="181"/>
      <c r="AE1" s="181"/>
      <c r="AF1" s="181"/>
      <c r="AG1" s="181"/>
      <c r="AH1" s="181"/>
      <c r="AI1" s="181"/>
      <c r="AJ1" s="181"/>
      <c r="AK1" s="181"/>
      <c r="AL1" s="181"/>
      <c r="AM1" s="181"/>
      <c r="AN1" s="181"/>
      <c r="AO1" s="181"/>
      <c r="AP1" s="181"/>
      <c r="AQ1" s="182" t="s">
        <v>112</v>
      </c>
      <c r="AR1" s="182"/>
      <c r="AS1" s="182"/>
      <c r="AT1" s="183" t="n">
        <v>1</v>
      </c>
      <c r="AU1" s="183"/>
      <c r="AV1" s="183"/>
      <c r="AW1" s="183"/>
      <c r="AX1" s="184" t="s">
        <v>113</v>
      </c>
      <c r="AY1" s="184"/>
      <c r="AZ1" s="184"/>
      <c r="BA1" s="184"/>
      <c r="BB1" s="184"/>
    </row>
    <row r="2" customFormat="false" ht="26.25" hidden="false" customHeight="true" outlineLevel="0" collapsed="false">
      <c r="A2" s="185"/>
      <c r="B2" s="185"/>
      <c r="C2" s="185"/>
      <c r="D2" s="186"/>
      <c r="E2" s="187"/>
      <c r="F2" s="163"/>
      <c r="G2" s="186"/>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88" t="s">
        <v>114</v>
      </c>
      <c r="AM2" s="188"/>
      <c r="AN2" s="188"/>
      <c r="AO2" s="188"/>
      <c r="AP2" s="174"/>
      <c r="AQ2" s="189" t="s">
        <v>115</v>
      </c>
      <c r="AR2" s="189"/>
      <c r="AS2" s="189"/>
      <c r="AT2" s="190"/>
      <c r="AU2" s="190"/>
      <c r="AV2" s="191"/>
      <c r="AW2" s="192" t="s">
        <v>25</v>
      </c>
      <c r="BB2" s="193"/>
    </row>
    <row r="3" customFormat="false" ht="13.5" hidden="false" customHeight="true" outlineLevel="0" collapsed="false">
      <c r="A3" s="194" t="s">
        <v>116</v>
      </c>
      <c r="B3" s="194"/>
      <c r="C3" s="194"/>
      <c r="D3" s="195" t="s">
        <v>117</v>
      </c>
      <c r="E3" s="195"/>
      <c r="F3" s="195"/>
      <c r="G3" s="195"/>
      <c r="H3" s="195"/>
      <c r="I3" s="195"/>
      <c r="J3" s="195" t="s">
        <v>118</v>
      </c>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t="s">
        <v>119</v>
      </c>
      <c r="AK3" s="195"/>
      <c r="AL3" s="195"/>
      <c r="AM3" s="195"/>
      <c r="AN3" s="195"/>
      <c r="AO3" s="195"/>
      <c r="AP3" s="195"/>
      <c r="AQ3" s="196"/>
      <c r="AR3" s="196"/>
      <c r="AS3" s="196"/>
      <c r="AT3" s="196"/>
      <c r="AU3" s="196"/>
      <c r="AV3" s="196"/>
      <c r="AW3" s="196"/>
      <c r="AX3" s="196"/>
      <c r="AY3" s="196"/>
      <c r="AZ3" s="196"/>
      <c r="BA3" s="196"/>
      <c r="BB3" s="196"/>
    </row>
    <row r="4" customFormat="false" ht="145.5" hidden="false" customHeight="true" outlineLevel="0" collapsed="false">
      <c r="A4" s="197" t="s">
        <v>120</v>
      </c>
      <c r="B4" s="198" t="s">
        <v>121</v>
      </c>
      <c r="C4" s="198"/>
      <c r="D4" s="199" t="s">
        <v>122</v>
      </c>
      <c r="E4" s="200" t="s">
        <v>123</v>
      </c>
      <c r="F4" s="201" t="s">
        <v>124</v>
      </c>
      <c r="G4" s="202" t="s">
        <v>125</v>
      </c>
      <c r="H4" s="201" t="s">
        <v>126</v>
      </c>
      <c r="I4" s="203" t="s">
        <v>127</v>
      </c>
      <c r="J4" s="204" t="s">
        <v>128</v>
      </c>
      <c r="K4" s="205" t="s">
        <v>129</v>
      </c>
      <c r="L4" s="199" t="s">
        <v>130</v>
      </c>
      <c r="M4" s="206" t="s">
        <v>131</v>
      </c>
      <c r="N4" s="199" t="s">
        <v>132</v>
      </c>
      <c r="O4" s="207" t="s">
        <v>133</v>
      </c>
      <c r="P4" s="208" t="s">
        <v>134</v>
      </c>
      <c r="Q4" s="209" t="s">
        <v>135</v>
      </c>
      <c r="R4" s="199" t="s">
        <v>136</v>
      </c>
      <c r="S4" s="210" t="s">
        <v>137</v>
      </c>
      <c r="T4" s="199" t="s">
        <v>138</v>
      </c>
      <c r="U4" s="211" t="s">
        <v>139</v>
      </c>
      <c r="V4" s="199"/>
      <c r="W4" s="212" t="s">
        <v>140</v>
      </c>
      <c r="X4" s="213"/>
      <c r="Y4" s="212" t="s">
        <v>141</v>
      </c>
      <c r="Z4" s="214" t="s">
        <v>142</v>
      </c>
      <c r="AA4" s="215" t="s">
        <v>143</v>
      </c>
      <c r="AB4" s="212" t="s">
        <v>144</v>
      </c>
      <c r="AC4" s="215" t="s">
        <v>143</v>
      </c>
      <c r="AD4" s="216" t="s">
        <v>145</v>
      </c>
      <c r="AE4" s="207" t="s">
        <v>146</v>
      </c>
      <c r="AF4" s="207" t="s">
        <v>147</v>
      </c>
      <c r="AG4" s="207" t="s">
        <v>148</v>
      </c>
      <c r="AH4" s="205" t="s">
        <v>149</v>
      </c>
      <c r="AI4" s="217" t="s">
        <v>150</v>
      </c>
      <c r="AJ4" s="204" t="s">
        <v>151</v>
      </c>
      <c r="AK4" s="200" t="s">
        <v>152</v>
      </c>
      <c r="AL4" s="200" t="s">
        <v>153</v>
      </c>
      <c r="AM4" s="218" t="s">
        <v>154</v>
      </c>
      <c r="AN4" s="205"/>
      <c r="AO4" s="205"/>
      <c r="AP4" s="203"/>
      <c r="AQ4" s="219" t="s">
        <v>155</v>
      </c>
      <c r="AR4" s="217" t="s">
        <v>156</v>
      </c>
      <c r="AS4" s="199" t="s">
        <v>157</v>
      </c>
      <c r="AT4" s="208" t="s">
        <v>158</v>
      </c>
      <c r="AU4" s="205" t="s">
        <v>159</v>
      </c>
      <c r="AV4" s="199" t="s">
        <v>160</v>
      </c>
      <c r="AW4" s="218" t="s">
        <v>161</v>
      </c>
      <c r="AX4" s="199" t="s">
        <v>162</v>
      </c>
      <c r="AY4" s="208" t="s">
        <v>163</v>
      </c>
      <c r="AZ4" s="208" t="s">
        <v>164</v>
      </c>
      <c r="BA4" s="217" t="s">
        <v>165</v>
      </c>
      <c r="BB4" s="220" t="s">
        <v>166</v>
      </c>
      <c r="BC4" s="221"/>
    </row>
    <row r="5" customFormat="false" ht="42" hidden="false" customHeight="true" outlineLevel="0" collapsed="false">
      <c r="A5" s="222" t="s">
        <v>167</v>
      </c>
      <c r="B5" s="223" t="s">
        <v>168</v>
      </c>
      <c r="C5" s="223"/>
      <c r="D5" s="224"/>
      <c r="E5" s="225"/>
      <c r="F5" s="226"/>
      <c r="G5" s="227"/>
      <c r="H5" s="227"/>
      <c r="I5" s="228"/>
      <c r="J5" s="229" t="s">
        <v>169</v>
      </c>
      <c r="K5" s="230" t="s">
        <v>170</v>
      </c>
      <c r="L5" s="230" t="s">
        <v>169</v>
      </c>
      <c r="M5" s="230" t="s">
        <v>171</v>
      </c>
      <c r="N5" s="230" t="s">
        <v>172</v>
      </c>
      <c r="O5" s="230" t="s">
        <v>172</v>
      </c>
      <c r="P5" s="230" t="s">
        <v>171</v>
      </c>
      <c r="Q5" s="230" t="s">
        <v>171</v>
      </c>
      <c r="R5" s="230" t="s">
        <v>172</v>
      </c>
      <c r="S5" s="230" t="s">
        <v>169</v>
      </c>
      <c r="T5" s="230" t="s">
        <v>172</v>
      </c>
      <c r="U5" s="230" t="s">
        <v>172</v>
      </c>
      <c r="V5" s="230" t="s">
        <v>173</v>
      </c>
      <c r="W5" s="230" t="s">
        <v>174</v>
      </c>
      <c r="X5" s="230" t="s">
        <v>169</v>
      </c>
      <c r="Y5" s="230" t="s">
        <v>174</v>
      </c>
      <c r="Z5" s="230" t="s">
        <v>171</v>
      </c>
      <c r="AA5" s="230"/>
      <c r="AB5" s="230" t="s">
        <v>169</v>
      </c>
      <c r="AC5" s="230" t="s">
        <v>172</v>
      </c>
      <c r="AD5" s="230" t="s">
        <v>174</v>
      </c>
      <c r="AE5" s="231" t="s">
        <v>172</v>
      </c>
      <c r="AF5" s="230" t="s">
        <v>172</v>
      </c>
      <c r="AG5" s="230" t="s">
        <v>172</v>
      </c>
      <c r="AH5" s="230" t="s">
        <v>169</v>
      </c>
      <c r="AI5" s="232" t="s">
        <v>172</v>
      </c>
      <c r="AJ5" s="229" t="s">
        <v>172</v>
      </c>
      <c r="AK5" s="230"/>
      <c r="AL5" s="230"/>
      <c r="AM5" s="230" t="s">
        <v>172</v>
      </c>
      <c r="AN5" s="230"/>
      <c r="AO5" s="230"/>
      <c r="AP5" s="232"/>
      <c r="AQ5" s="229" t="s">
        <v>169</v>
      </c>
      <c r="AR5" s="230" t="s">
        <v>169</v>
      </c>
      <c r="AS5" s="230"/>
      <c r="AT5" s="230" t="s">
        <v>169</v>
      </c>
      <c r="AU5" s="230" t="s">
        <v>169</v>
      </c>
      <c r="AV5" s="230"/>
      <c r="AW5" s="230" t="s">
        <v>169</v>
      </c>
      <c r="AX5" s="230"/>
      <c r="AY5" s="230" t="s">
        <v>169</v>
      </c>
      <c r="AZ5" s="230" t="s">
        <v>169</v>
      </c>
      <c r="BA5" s="230" t="s">
        <v>171</v>
      </c>
      <c r="BB5" s="232" t="s">
        <v>175</v>
      </c>
    </row>
    <row r="6" customFormat="false" ht="12.75" hidden="false" customHeight="false" outlineLevel="0" collapsed="false">
      <c r="A6" s="233" t="s">
        <v>176</v>
      </c>
      <c r="B6" s="233"/>
      <c r="C6" s="233"/>
      <c r="D6" s="234"/>
      <c r="E6" s="235"/>
      <c r="F6" s="235"/>
      <c r="G6" s="235"/>
      <c r="H6" s="235"/>
      <c r="I6" s="235"/>
      <c r="J6" s="235"/>
      <c r="K6" s="235"/>
      <c r="L6" s="235"/>
      <c r="M6" s="235"/>
      <c r="N6" s="235"/>
      <c r="O6" s="235"/>
      <c r="P6" s="235"/>
      <c r="Q6" s="235"/>
      <c r="R6" s="235"/>
      <c r="S6" s="235"/>
      <c r="T6" s="235"/>
      <c r="U6" s="235"/>
      <c r="V6" s="235"/>
      <c r="W6" s="235"/>
      <c r="X6" s="235"/>
      <c r="Y6" s="235"/>
      <c r="Z6" s="235"/>
      <c r="AA6" s="235"/>
      <c r="AB6" s="235"/>
      <c r="AC6" s="235"/>
      <c r="AD6" s="235"/>
      <c r="AE6" s="235"/>
      <c r="AF6" s="235"/>
      <c r="AG6" s="235"/>
      <c r="AH6" s="235"/>
      <c r="AI6" s="235"/>
      <c r="AJ6" s="235"/>
      <c r="AK6" s="235"/>
      <c r="AL6" s="235"/>
      <c r="AM6" s="235"/>
      <c r="AN6" s="235"/>
      <c r="AO6" s="235"/>
      <c r="AP6" s="235"/>
      <c r="AQ6" s="235"/>
      <c r="AR6" s="235"/>
      <c r="AS6" s="235"/>
      <c r="AT6" s="235"/>
      <c r="AU6" s="235"/>
      <c r="AV6" s="235"/>
      <c r="AW6" s="235"/>
      <c r="AX6" s="235"/>
      <c r="AY6" s="235"/>
      <c r="AZ6" s="235"/>
      <c r="BA6" s="235"/>
      <c r="BB6" s="236"/>
    </row>
    <row r="7" customFormat="false" ht="34.5" hidden="false" customHeight="true" outlineLevel="0" collapsed="false">
      <c r="A7" s="237"/>
      <c r="B7" s="237"/>
      <c r="C7" s="237"/>
      <c r="D7" s="238"/>
      <c r="E7" s="239"/>
      <c r="F7" s="239"/>
      <c r="G7" s="239"/>
      <c r="H7" s="239"/>
      <c r="I7" s="240"/>
      <c r="J7" s="240"/>
      <c r="K7" s="240"/>
      <c r="L7" s="240"/>
      <c r="M7" s="240"/>
      <c r="N7" s="240"/>
      <c r="O7" s="240"/>
      <c r="P7" s="240"/>
      <c r="Q7" s="240"/>
      <c r="R7" s="240"/>
      <c r="S7" s="240"/>
      <c r="T7" s="240"/>
      <c r="U7" s="240"/>
      <c r="V7" s="240"/>
      <c r="W7" s="240"/>
      <c r="X7" s="240"/>
      <c r="Y7" s="240"/>
      <c r="Z7" s="240"/>
      <c r="AA7" s="241"/>
      <c r="AB7" s="239"/>
      <c r="AC7" s="239"/>
      <c r="AD7" s="239"/>
      <c r="AE7" s="239"/>
      <c r="AF7" s="239"/>
      <c r="AG7" s="239"/>
      <c r="AH7" s="239"/>
      <c r="AI7" s="239"/>
      <c r="AJ7" s="239"/>
      <c r="AK7" s="239"/>
      <c r="AL7" s="239"/>
      <c r="AM7" s="239"/>
      <c r="AN7" s="239"/>
      <c r="AO7" s="239"/>
      <c r="AP7" s="239"/>
      <c r="AQ7" s="239"/>
      <c r="AR7" s="239"/>
      <c r="AS7" s="239"/>
      <c r="AT7" s="239"/>
      <c r="AU7" s="239"/>
      <c r="AV7" s="239"/>
      <c r="AW7" s="239"/>
      <c r="AX7" s="239"/>
      <c r="AY7" s="239"/>
      <c r="AZ7" s="239"/>
      <c r="BA7" s="239"/>
      <c r="BB7" s="242"/>
    </row>
    <row r="8" customFormat="false" ht="34.5" hidden="false" customHeight="true" outlineLevel="0" collapsed="false">
      <c r="A8" s="243"/>
      <c r="B8" s="243"/>
      <c r="C8" s="243"/>
      <c r="D8" s="244"/>
      <c r="E8" s="240"/>
      <c r="F8" s="240"/>
      <c r="G8" s="240"/>
      <c r="H8" s="240"/>
      <c r="I8" s="240"/>
      <c r="J8" s="240"/>
      <c r="K8" s="240"/>
      <c r="L8" s="240"/>
      <c r="M8" s="240"/>
      <c r="N8" s="240"/>
      <c r="O8" s="240"/>
      <c r="P8" s="240"/>
      <c r="Q8" s="240"/>
      <c r="R8" s="240"/>
      <c r="S8" s="240"/>
      <c r="T8" s="240"/>
      <c r="U8" s="240"/>
      <c r="V8" s="240"/>
      <c r="W8" s="240"/>
      <c r="X8" s="240"/>
      <c r="Y8" s="240"/>
      <c r="Z8" s="240"/>
      <c r="AA8" s="240"/>
      <c r="AB8" s="240"/>
      <c r="AC8" s="240"/>
      <c r="AD8" s="240"/>
      <c r="AE8" s="240"/>
      <c r="AF8" s="240"/>
      <c r="AG8" s="240"/>
      <c r="AH8" s="240"/>
      <c r="AI8" s="240"/>
      <c r="AJ8" s="240"/>
      <c r="AK8" s="240"/>
      <c r="AL8" s="240"/>
      <c r="AM8" s="240"/>
      <c r="AN8" s="240"/>
      <c r="AO8" s="240"/>
      <c r="AP8" s="240"/>
      <c r="AQ8" s="240"/>
      <c r="AR8" s="240"/>
      <c r="AS8" s="240"/>
      <c r="AT8" s="240"/>
      <c r="AU8" s="240"/>
      <c r="AV8" s="240"/>
      <c r="AW8" s="240"/>
      <c r="AX8" s="240"/>
      <c r="AY8" s="240"/>
      <c r="AZ8" s="240"/>
      <c r="BA8" s="240"/>
      <c r="BB8" s="245"/>
    </row>
    <row r="9" customFormat="false" ht="34.5" hidden="false" customHeight="true" outlineLevel="0" collapsed="false">
      <c r="A9" s="243"/>
      <c r="B9" s="243"/>
      <c r="C9" s="243"/>
      <c r="D9" s="244"/>
      <c r="E9" s="240"/>
      <c r="F9" s="240"/>
      <c r="G9" s="240"/>
      <c r="H9" s="240"/>
      <c r="I9" s="240"/>
      <c r="J9" s="240"/>
      <c r="K9" s="240"/>
      <c r="L9" s="240"/>
      <c r="M9" s="240"/>
      <c r="N9" s="240"/>
      <c r="O9" s="240"/>
      <c r="P9" s="240"/>
      <c r="Q9" s="240"/>
      <c r="R9" s="240"/>
      <c r="S9" s="240"/>
      <c r="T9" s="240"/>
      <c r="U9" s="240"/>
      <c r="V9" s="240"/>
      <c r="W9" s="240"/>
      <c r="X9" s="240"/>
      <c r="Y9" s="240"/>
      <c r="Z9" s="240"/>
      <c r="AA9" s="240"/>
      <c r="AB9" s="240"/>
      <c r="AC9" s="240"/>
      <c r="AD9" s="240"/>
      <c r="AE9" s="240"/>
      <c r="AF9" s="240"/>
      <c r="AG9" s="240"/>
      <c r="AH9" s="240"/>
      <c r="AI9" s="240"/>
      <c r="AJ9" s="240"/>
      <c r="AK9" s="240"/>
      <c r="AL9" s="240"/>
      <c r="AM9" s="240"/>
      <c r="AN9" s="240"/>
      <c r="AO9" s="240"/>
      <c r="AP9" s="240"/>
      <c r="AQ9" s="240"/>
      <c r="AR9" s="240"/>
      <c r="AS9" s="240"/>
      <c r="AT9" s="240"/>
      <c r="AU9" s="240"/>
      <c r="AV9" s="240"/>
      <c r="AW9" s="240"/>
      <c r="AX9" s="240"/>
      <c r="AY9" s="240"/>
      <c r="AZ9" s="240"/>
      <c r="BA9" s="240"/>
      <c r="BB9" s="245"/>
    </row>
    <row r="10" customFormat="false" ht="34.5" hidden="false" customHeight="true" outlineLevel="0" collapsed="false">
      <c r="A10" s="243"/>
      <c r="B10" s="243"/>
      <c r="C10" s="243"/>
      <c r="D10" s="244"/>
      <c r="E10" s="240"/>
      <c r="F10" s="240"/>
      <c r="G10" s="240"/>
      <c r="H10" s="240"/>
      <c r="I10" s="240"/>
      <c r="J10" s="240"/>
      <c r="K10" s="240"/>
      <c r="L10" s="240"/>
      <c r="M10" s="240"/>
      <c r="N10" s="240"/>
      <c r="O10" s="240"/>
      <c r="P10" s="240"/>
      <c r="Q10" s="240"/>
      <c r="R10" s="240"/>
      <c r="S10" s="240"/>
      <c r="T10" s="240"/>
      <c r="U10" s="240"/>
      <c r="V10" s="240"/>
      <c r="W10" s="240"/>
      <c r="X10" s="240"/>
      <c r="Y10" s="240"/>
      <c r="Z10" s="240"/>
      <c r="AA10" s="240"/>
      <c r="AB10" s="240"/>
      <c r="AC10" s="240"/>
      <c r="AD10" s="240"/>
      <c r="AE10" s="240"/>
      <c r="AF10" s="240"/>
      <c r="AG10" s="240"/>
      <c r="AH10" s="240"/>
      <c r="AI10" s="240"/>
      <c r="AJ10" s="240"/>
      <c r="AK10" s="240"/>
      <c r="AL10" s="240"/>
      <c r="AM10" s="240"/>
      <c r="AN10" s="240"/>
      <c r="AO10" s="240"/>
      <c r="AP10" s="240"/>
      <c r="AQ10" s="240"/>
      <c r="AR10" s="240"/>
      <c r="AS10" s="240"/>
      <c r="AT10" s="240"/>
      <c r="AU10" s="240"/>
      <c r="AV10" s="240"/>
      <c r="AW10" s="240"/>
      <c r="AX10" s="240"/>
      <c r="AY10" s="240"/>
      <c r="AZ10" s="240"/>
      <c r="BA10" s="240"/>
      <c r="BB10" s="245"/>
    </row>
    <row r="11" customFormat="false" ht="34.5" hidden="false" customHeight="true" outlineLevel="0" collapsed="false">
      <c r="A11" s="243"/>
      <c r="B11" s="243"/>
      <c r="C11" s="243"/>
      <c r="D11" s="244"/>
      <c r="E11" s="240"/>
      <c r="F11" s="240"/>
      <c r="G11" s="240"/>
      <c r="H11" s="240"/>
      <c r="I11" s="240"/>
      <c r="J11" s="240"/>
      <c r="K11" s="240"/>
      <c r="L11" s="240"/>
      <c r="M11" s="240"/>
      <c r="N11" s="240"/>
      <c r="O11" s="240"/>
      <c r="P11" s="240"/>
      <c r="Q11" s="240"/>
      <c r="R11" s="240"/>
      <c r="S11" s="240"/>
      <c r="T11" s="240"/>
      <c r="U11" s="240"/>
      <c r="V11" s="240"/>
      <c r="W11" s="240"/>
      <c r="X11" s="240"/>
      <c r="Y11" s="240"/>
      <c r="Z11" s="240"/>
      <c r="AA11" s="240"/>
      <c r="AB11" s="240"/>
      <c r="AC11" s="240"/>
      <c r="AD11" s="240"/>
      <c r="AE11" s="240"/>
      <c r="AF11" s="240"/>
      <c r="AG11" s="240"/>
      <c r="AH11" s="240"/>
      <c r="AI11" s="240"/>
      <c r="AJ11" s="240"/>
      <c r="AK11" s="240"/>
      <c r="AL11" s="240"/>
      <c r="AM11" s="240"/>
      <c r="AN11" s="240"/>
      <c r="AO11" s="240"/>
      <c r="AP11" s="240"/>
      <c r="AQ11" s="240"/>
      <c r="AR11" s="240"/>
      <c r="AS11" s="240"/>
      <c r="AT11" s="240"/>
      <c r="AU11" s="240"/>
      <c r="AV11" s="240"/>
      <c r="AW11" s="240"/>
      <c r="AX11" s="240"/>
      <c r="AY11" s="240"/>
      <c r="AZ11" s="240"/>
      <c r="BA11" s="240"/>
      <c r="BB11" s="245"/>
    </row>
    <row r="12" customFormat="false" ht="34.5" hidden="false" customHeight="true" outlineLevel="0" collapsed="false">
      <c r="A12" s="243"/>
      <c r="B12" s="243"/>
      <c r="C12" s="243"/>
      <c r="D12" s="244"/>
      <c r="E12" s="240"/>
      <c r="F12" s="240"/>
      <c r="G12" s="240"/>
      <c r="H12" s="240"/>
      <c r="I12" s="240"/>
      <c r="J12" s="240"/>
      <c r="K12" s="240"/>
      <c r="L12" s="240"/>
      <c r="M12" s="240"/>
      <c r="N12" s="240"/>
      <c r="O12" s="240"/>
      <c r="P12" s="240"/>
      <c r="Q12" s="240"/>
      <c r="R12" s="240"/>
      <c r="S12" s="240"/>
      <c r="T12" s="240"/>
      <c r="U12" s="240"/>
      <c r="V12" s="240"/>
      <c r="W12" s="240"/>
      <c r="X12" s="240"/>
      <c r="Y12" s="240"/>
      <c r="Z12" s="240"/>
      <c r="AA12" s="240"/>
      <c r="AB12" s="240"/>
      <c r="AC12" s="240"/>
      <c r="AD12" s="240"/>
      <c r="AE12" s="240"/>
      <c r="AF12" s="240"/>
      <c r="AG12" s="240"/>
      <c r="AH12" s="240"/>
      <c r="AI12" s="240"/>
      <c r="AJ12" s="240"/>
      <c r="AK12" s="240"/>
      <c r="AL12" s="240"/>
      <c r="AM12" s="240"/>
      <c r="AN12" s="240"/>
      <c r="AO12" s="240"/>
      <c r="AP12" s="240"/>
      <c r="AQ12" s="240"/>
      <c r="AR12" s="240"/>
      <c r="AS12" s="240"/>
      <c r="AT12" s="240"/>
      <c r="AU12" s="240"/>
      <c r="AV12" s="240"/>
      <c r="AW12" s="240"/>
      <c r="AX12" s="240"/>
      <c r="AY12" s="240"/>
      <c r="AZ12" s="240"/>
      <c r="BA12" s="240"/>
      <c r="BB12" s="245"/>
    </row>
    <row r="13" customFormat="false" ht="34.5" hidden="false" customHeight="true" outlineLevel="0" collapsed="false">
      <c r="A13" s="243"/>
      <c r="B13" s="243"/>
      <c r="C13" s="243"/>
      <c r="D13" s="244"/>
      <c r="E13" s="240"/>
      <c r="F13" s="240"/>
      <c r="G13" s="240"/>
      <c r="H13" s="240"/>
      <c r="I13" s="240"/>
      <c r="J13" s="240"/>
      <c r="K13" s="240"/>
      <c r="L13" s="240"/>
      <c r="M13" s="240"/>
      <c r="N13" s="240"/>
      <c r="O13" s="240"/>
      <c r="P13" s="240"/>
      <c r="Q13" s="240"/>
      <c r="R13" s="240"/>
      <c r="S13" s="240"/>
      <c r="T13" s="240"/>
      <c r="U13" s="240"/>
      <c r="V13" s="240"/>
      <c r="W13" s="240"/>
      <c r="X13" s="240"/>
      <c r="Y13" s="240"/>
      <c r="Z13" s="240"/>
      <c r="AA13" s="240"/>
      <c r="AB13" s="240"/>
      <c r="AC13" s="240"/>
      <c r="AD13" s="240"/>
      <c r="AE13" s="240"/>
      <c r="AF13" s="240"/>
      <c r="AG13" s="240"/>
      <c r="AH13" s="240"/>
      <c r="AI13" s="240"/>
      <c r="AJ13" s="240"/>
      <c r="AK13" s="240"/>
      <c r="AL13" s="240"/>
      <c r="AM13" s="240"/>
      <c r="AN13" s="240"/>
      <c r="AO13" s="240"/>
      <c r="AP13" s="240"/>
      <c r="AQ13" s="240"/>
      <c r="AR13" s="240"/>
      <c r="AS13" s="240"/>
      <c r="AT13" s="240"/>
      <c r="AU13" s="240"/>
      <c r="AV13" s="240"/>
      <c r="AW13" s="240"/>
      <c r="AX13" s="240"/>
      <c r="AY13" s="240"/>
      <c r="AZ13" s="240"/>
      <c r="BA13" s="240"/>
      <c r="BB13" s="245"/>
    </row>
    <row r="14" customFormat="false" ht="34.5" hidden="false" customHeight="true" outlineLevel="0" collapsed="false">
      <c r="A14" s="243"/>
      <c r="B14" s="243"/>
      <c r="C14" s="243"/>
      <c r="D14" s="240"/>
      <c r="E14" s="240"/>
      <c r="F14" s="240"/>
      <c r="G14" s="240"/>
      <c r="H14" s="240"/>
      <c r="I14" s="240"/>
      <c r="J14" s="240"/>
      <c r="K14" s="240"/>
      <c r="L14" s="240"/>
      <c r="M14" s="240"/>
      <c r="N14" s="240"/>
      <c r="O14" s="240"/>
      <c r="P14" s="240"/>
      <c r="Q14" s="240"/>
      <c r="R14" s="240"/>
      <c r="S14" s="240"/>
      <c r="T14" s="240"/>
      <c r="U14" s="240"/>
      <c r="V14" s="240"/>
      <c r="W14" s="240"/>
      <c r="X14" s="240"/>
      <c r="Y14" s="240"/>
      <c r="Z14" s="240"/>
      <c r="AA14" s="240"/>
      <c r="AB14" s="240"/>
      <c r="AC14" s="240"/>
      <c r="AD14" s="240"/>
      <c r="AE14" s="240"/>
      <c r="AF14" s="240"/>
      <c r="AG14" s="240"/>
      <c r="AH14" s="240"/>
      <c r="AI14" s="240"/>
      <c r="AJ14" s="240"/>
      <c r="AK14" s="240"/>
      <c r="AL14" s="240"/>
      <c r="AM14" s="240"/>
      <c r="AN14" s="240"/>
      <c r="AO14" s="240"/>
      <c r="AP14" s="240"/>
      <c r="AQ14" s="240"/>
      <c r="AR14" s="240"/>
      <c r="AS14" s="240"/>
      <c r="AT14" s="240"/>
      <c r="AU14" s="240"/>
      <c r="AV14" s="240"/>
      <c r="AW14" s="240"/>
      <c r="AX14" s="240"/>
      <c r="AY14" s="240"/>
      <c r="AZ14" s="240"/>
      <c r="BA14" s="240"/>
      <c r="BB14" s="245"/>
    </row>
    <row r="15" customFormat="false" ht="34.5" hidden="false" customHeight="true" outlineLevel="0" collapsed="false">
      <c r="A15" s="243"/>
      <c r="B15" s="243"/>
      <c r="C15" s="243"/>
      <c r="D15" s="240"/>
      <c r="E15" s="240"/>
      <c r="F15" s="240"/>
      <c r="G15" s="240"/>
      <c r="H15" s="240"/>
      <c r="I15" s="246"/>
      <c r="J15" s="240"/>
      <c r="K15" s="240"/>
      <c r="L15" s="240"/>
      <c r="M15" s="240"/>
      <c r="N15" s="240"/>
      <c r="O15" s="240"/>
      <c r="P15" s="240"/>
      <c r="Q15" s="240"/>
      <c r="R15" s="240"/>
      <c r="S15" s="240"/>
      <c r="T15" s="240"/>
      <c r="U15" s="240"/>
      <c r="V15" s="240"/>
      <c r="W15" s="240"/>
      <c r="X15" s="240"/>
      <c r="Y15" s="240"/>
      <c r="Z15" s="240"/>
      <c r="AA15" s="240"/>
      <c r="AB15" s="240"/>
      <c r="AC15" s="240"/>
      <c r="AD15" s="240"/>
      <c r="AE15" s="240"/>
      <c r="AF15" s="240"/>
      <c r="AG15" s="240"/>
      <c r="AH15" s="240"/>
      <c r="AI15" s="240"/>
      <c r="AJ15" s="240"/>
      <c r="AK15" s="240"/>
      <c r="AL15" s="240"/>
      <c r="AM15" s="240"/>
      <c r="AN15" s="240"/>
      <c r="AO15" s="240"/>
      <c r="AP15" s="240"/>
      <c r="AQ15" s="240"/>
      <c r="AR15" s="240"/>
      <c r="AS15" s="240"/>
      <c r="AT15" s="240"/>
      <c r="AU15" s="240"/>
      <c r="AV15" s="240"/>
      <c r="AW15" s="240"/>
      <c r="AX15" s="240"/>
      <c r="AY15" s="240"/>
      <c r="AZ15" s="240"/>
      <c r="BA15" s="240"/>
      <c r="BB15" s="245"/>
    </row>
    <row r="16" customFormat="false" ht="34.5" hidden="false" customHeight="true" outlineLevel="0" collapsed="false">
      <c r="A16" s="243"/>
      <c r="B16" s="243"/>
      <c r="C16" s="243"/>
      <c r="D16" s="240"/>
      <c r="E16" s="240"/>
      <c r="F16" s="240"/>
      <c r="G16" s="240"/>
      <c r="H16" s="240"/>
      <c r="I16" s="246"/>
      <c r="J16" s="240"/>
      <c r="K16" s="240"/>
      <c r="L16" s="240"/>
      <c r="M16" s="240"/>
      <c r="N16" s="240"/>
      <c r="O16" s="240"/>
      <c r="P16" s="240"/>
      <c r="Q16" s="240"/>
      <c r="R16" s="240"/>
      <c r="S16" s="240"/>
      <c r="T16" s="240"/>
      <c r="U16" s="240"/>
      <c r="V16" s="240"/>
      <c r="W16" s="240"/>
      <c r="X16" s="240"/>
      <c r="Y16" s="240"/>
      <c r="Z16" s="240"/>
      <c r="AA16" s="240"/>
      <c r="AB16" s="240"/>
      <c r="AC16" s="240"/>
      <c r="AD16" s="240"/>
      <c r="AE16" s="240"/>
      <c r="AF16" s="240"/>
      <c r="AG16" s="240"/>
      <c r="AH16" s="240"/>
      <c r="AI16" s="240"/>
      <c r="AJ16" s="240"/>
      <c r="AK16" s="240"/>
      <c r="AL16" s="240"/>
      <c r="AM16" s="240"/>
      <c r="AN16" s="240"/>
      <c r="AO16" s="240"/>
      <c r="AP16" s="240"/>
      <c r="AQ16" s="240"/>
      <c r="AR16" s="240"/>
      <c r="AS16" s="240"/>
      <c r="AT16" s="240"/>
      <c r="AU16" s="240"/>
      <c r="AV16" s="240"/>
      <c r="AW16" s="240"/>
      <c r="AX16" s="240"/>
      <c r="AY16" s="240"/>
      <c r="AZ16" s="240"/>
      <c r="BA16" s="240"/>
      <c r="BB16" s="245"/>
    </row>
    <row r="17" customFormat="false" ht="34.5" hidden="false" customHeight="true" outlineLevel="0" collapsed="false">
      <c r="A17" s="243"/>
      <c r="B17" s="243"/>
      <c r="C17" s="243"/>
      <c r="D17" s="240"/>
      <c r="E17" s="240"/>
      <c r="F17" s="240"/>
      <c r="G17" s="240"/>
      <c r="H17" s="240"/>
      <c r="I17" s="246"/>
      <c r="J17" s="240"/>
      <c r="K17" s="240"/>
      <c r="L17" s="240"/>
      <c r="M17" s="240"/>
      <c r="N17" s="240"/>
      <c r="O17" s="240"/>
      <c r="P17" s="240"/>
      <c r="Q17" s="240"/>
      <c r="R17" s="240"/>
      <c r="S17" s="240"/>
      <c r="T17" s="240"/>
      <c r="U17" s="240"/>
      <c r="V17" s="240"/>
      <c r="W17" s="240"/>
      <c r="X17" s="240"/>
      <c r="Y17" s="240"/>
      <c r="Z17" s="240"/>
      <c r="AA17" s="240"/>
      <c r="AB17" s="240"/>
      <c r="AC17" s="240"/>
      <c r="AD17" s="240"/>
      <c r="AE17" s="240"/>
      <c r="AF17" s="240"/>
      <c r="AG17" s="240"/>
      <c r="AH17" s="240"/>
      <c r="AI17" s="240"/>
      <c r="AJ17" s="240"/>
      <c r="AK17" s="240"/>
      <c r="AL17" s="240"/>
      <c r="AM17" s="240"/>
      <c r="AN17" s="240"/>
      <c r="AO17" s="240"/>
      <c r="AP17" s="240"/>
      <c r="AQ17" s="240"/>
      <c r="AR17" s="240"/>
      <c r="AS17" s="240"/>
      <c r="AT17" s="240"/>
      <c r="AU17" s="240"/>
      <c r="AV17" s="240"/>
      <c r="AW17" s="240"/>
      <c r="AX17" s="240"/>
      <c r="AY17" s="240"/>
      <c r="AZ17" s="240"/>
      <c r="BA17" s="240"/>
      <c r="BB17" s="245"/>
    </row>
    <row r="18" customFormat="false" ht="34.5" hidden="false" customHeight="true" outlineLevel="0" collapsed="false">
      <c r="A18" s="243"/>
      <c r="B18" s="243"/>
      <c r="C18" s="243"/>
      <c r="D18" s="240"/>
      <c r="E18" s="240"/>
      <c r="F18" s="240"/>
      <c r="G18" s="240"/>
      <c r="H18" s="240"/>
      <c r="I18" s="247"/>
      <c r="J18" s="240"/>
      <c r="K18" s="240"/>
      <c r="L18" s="240"/>
      <c r="M18" s="240"/>
      <c r="N18" s="240"/>
      <c r="O18" s="240"/>
      <c r="P18" s="240"/>
      <c r="Q18" s="240"/>
      <c r="R18" s="240"/>
      <c r="S18" s="240"/>
      <c r="T18" s="240"/>
      <c r="U18" s="240"/>
      <c r="V18" s="240"/>
      <c r="W18" s="240"/>
      <c r="X18" s="240"/>
      <c r="Y18" s="240"/>
      <c r="Z18" s="240"/>
      <c r="AA18" s="240"/>
      <c r="AB18" s="240"/>
      <c r="AC18" s="240"/>
      <c r="AD18" s="240"/>
      <c r="AE18" s="240"/>
      <c r="AF18" s="240"/>
      <c r="AG18" s="240"/>
      <c r="AH18" s="240"/>
      <c r="AI18" s="240"/>
      <c r="AJ18" s="240"/>
      <c r="AK18" s="240"/>
      <c r="AL18" s="240"/>
      <c r="AM18" s="240"/>
      <c r="AN18" s="240"/>
      <c r="AO18" s="240"/>
      <c r="AP18" s="240"/>
      <c r="AQ18" s="240"/>
      <c r="AR18" s="240"/>
      <c r="AS18" s="240"/>
      <c r="AT18" s="240"/>
      <c r="AU18" s="240"/>
      <c r="AV18" s="240"/>
      <c r="AW18" s="240"/>
      <c r="AX18" s="240"/>
      <c r="AY18" s="240"/>
      <c r="AZ18" s="240"/>
      <c r="BA18" s="240"/>
      <c r="BB18" s="245"/>
    </row>
    <row r="19" customFormat="false" ht="34.5" hidden="false" customHeight="true" outlineLevel="0" collapsed="false">
      <c r="A19" s="243"/>
      <c r="B19" s="243"/>
      <c r="C19" s="243"/>
      <c r="D19" s="240"/>
      <c r="E19" s="240"/>
      <c r="F19" s="240"/>
      <c r="G19" s="240"/>
      <c r="H19" s="240"/>
      <c r="I19" s="247"/>
      <c r="J19" s="240"/>
      <c r="K19" s="240"/>
      <c r="L19" s="240"/>
      <c r="M19" s="240"/>
      <c r="N19" s="240"/>
      <c r="O19" s="240"/>
      <c r="P19" s="240"/>
      <c r="Q19" s="240"/>
      <c r="R19" s="240"/>
      <c r="S19" s="240"/>
      <c r="T19" s="240"/>
      <c r="U19" s="240"/>
      <c r="V19" s="240"/>
      <c r="W19" s="240"/>
      <c r="X19" s="240"/>
      <c r="Y19" s="240"/>
      <c r="Z19" s="240"/>
      <c r="AA19" s="240"/>
      <c r="AB19" s="240"/>
      <c r="AC19" s="240"/>
      <c r="AD19" s="240"/>
      <c r="AE19" s="240"/>
      <c r="AF19" s="240"/>
      <c r="AG19" s="240"/>
      <c r="AH19" s="240"/>
      <c r="AI19" s="240"/>
      <c r="AJ19" s="240"/>
      <c r="AK19" s="240"/>
      <c r="AL19" s="240"/>
      <c r="AM19" s="240"/>
      <c r="AN19" s="240"/>
      <c r="AO19" s="240"/>
      <c r="AP19" s="240"/>
      <c r="AQ19" s="240"/>
      <c r="AR19" s="240"/>
      <c r="AS19" s="240"/>
      <c r="AT19" s="240"/>
      <c r="AU19" s="240"/>
      <c r="AV19" s="240"/>
      <c r="AW19" s="240"/>
      <c r="AX19" s="240"/>
      <c r="AY19" s="240"/>
      <c r="AZ19" s="240"/>
      <c r="BA19" s="240"/>
      <c r="BB19" s="245"/>
    </row>
    <row r="20" customFormat="false" ht="34.5" hidden="false" customHeight="true" outlineLevel="0" collapsed="false">
      <c r="A20" s="243"/>
      <c r="B20" s="243"/>
      <c r="C20" s="243"/>
      <c r="D20" s="240"/>
      <c r="E20" s="240"/>
      <c r="F20" s="240"/>
      <c r="G20" s="240"/>
      <c r="H20" s="240"/>
      <c r="I20" s="247"/>
      <c r="J20" s="240"/>
      <c r="K20" s="240"/>
      <c r="L20" s="240"/>
      <c r="M20" s="240"/>
      <c r="N20" s="240"/>
      <c r="O20" s="240"/>
      <c r="P20" s="240"/>
      <c r="Q20" s="240"/>
      <c r="R20" s="240"/>
      <c r="S20" s="240"/>
      <c r="T20" s="240"/>
      <c r="U20" s="240"/>
      <c r="V20" s="240"/>
      <c r="W20" s="240"/>
      <c r="X20" s="240"/>
      <c r="Y20" s="240"/>
      <c r="Z20" s="240"/>
      <c r="AA20" s="240"/>
      <c r="AB20" s="240"/>
      <c r="AC20" s="240"/>
      <c r="AD20" s="240"/>
      <c r="AE20" s="240"/>
      <c r="AF20" s="240"/>
      <c r="AG20" s="240"/>
      <c r="AH20" s="240"/>
      <c r="AI20" s="240"/>
      <c r="AJ20" s="240"/>
      <c r="AK20" s="240"/>
      <c r="AL20" s="240"/>
      <c r="AM20" s="240"/>
      <c r="AN20" s="240"/>
      <c r="AO20" s="240"/>
      <c r="AP20" s="240"/>
      <c r="AQ20" s="240"/>
      <c r="AR20" s="240"/>
      <c r="AS20" s="240"/>
      <c r="AT20" s="240"/>
      <c r="AU20" s="240"/>
      <c r="AV20" s="240"/>
      <c r="AW20" s="240"/>
      <c r="AX20" s="240"/>
      <c r="AY20" s="240"/>
      <c r="AZ20" s="240"/>
      <c r="BA20" s="240"/>
      <c r="BB20" s="245"/>
    </row>
    <row r="21" customFormat="false" ht="34.5" hidden="false" customHeight="true" outlineLevel="0" collapsed="false">
      <c r="A21" s="243"/>
      <c r="B21" s="243"/>
      <c r="C21" s="243"/>
      <c r="D21" s="240"/>
      <c r="E21" s="240"/>
      <c r="F21" s="240"/>
      <c r="G21" s="240"/>
      <c r="H21" s="240"/>
      <c r="I21" s="246"/>
      <c r="J21" s="240"/>
      <c r="K21" s="240"/>
      <c r="L21" s="240"/>
      <c r="M21" s="240"/>
      <c r="N21" s="240"/>
      <c r="O21" s="240"/>
      <c r="P21" s="240"/>
      <c r="Q21" s="240"/>
      <c r="R21" s="240"/>
      <c r="S21" s="240"/>
      <c r="T21" s="240"/>
      <c r="U21" s="240"/>
      <c r="V21" s="240"/>
      <c r="W21" s="240"/>
      <c r="X21" s="240"/>
      <c r="Y21" s="240"/>
      <c r="Z21" s="240"/>
      <c r="AA21" s="240"/>
      <c r="AB21" s="240"/>
      <c r="AC21" s="240"/>
      <c r="AD21" s="240"/>
      <c r="AE21" s="240"/>
      <c r="AF21" s="240"/>
      <c r="AG21" s="240"/>
      <c r="AH21" s="240"/>
      <c r="AI21" s="240"/>
      <c r="AJ21" s="240"/>
      <c r="AK21" s="240"/>
      <c r="AL21" s="240"/>
      <c r="AM21" s="240"/>
      <c r="AN21" s="240"/>
      <c r="AO21" s="240"/>
      <c r="AP21" s="240"/>
      <c r="AQ21" s="240"/>
      <c r="AR21" s="240"/>
      <c r="AS21" s="240"/>
      <c r="AT21" s="240"/>
      <c r="AU21" s="240"/>
      <c r="AV21" s="240"/>
      <c r="AW21" s="240"/>
      <c r="AX21" s="240"/>
      <c r="AY21" s="240"/>
      <c r="AZ21" s="240"/>
      <c r="BA21" s="240"/>
      <c r="BB21" s="245"/>
    </row>
    <row r="22" customFormat="false" ht="34.5" hidden="false" customHeight="true" outlineLevel="0" collapsed="false">
      <c r="A22" s="243"/>
      <c r="B22" s="243"/>
      <c r="C22" s="243"/>
      <c r="D22" s="248"/>
      <c r="E22" s="248"/>
      <c r="F22" s="248"/>
      <c r="G22" s="248"/>
      <c r="H22" s="248"/>
      <c r="I22" s="246"/>
      <c r="J22" s="248"/>
      <c r="K22" s="248"/>
      <c r="L22" s="248"/>
      <c r="M22" s="248"/>
      <c r="N22" s="248"/>
      <c r="O22" s="248"/>
      <c r="P22" s="248"/>
      <c r="Q22" s="248"/>
      <c r="R22" s="248"/>
      <c r="S22" s="248"/>
      <c r="T22" s="248"/>
      <c r="U22" s="248"/>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X22" s="248"/>
      <c r="AY22" s="248"/>
      <c r="AZ22" s="248"/>
      <c r="BA22" s="248"/>
      <c r="BB22" s="249"/>
    </row>
    <row r="23" customFormat="false" ht="34.5" hidden="false" customHeight="true" outlineLevel="0" collapsed="false">
      <c r="A23" s="243"/>
      <c r="B23" s="243"/>
      <c r="C23" s="243"/>
      <c r="D23" s="248"/>
      <c r="E23" s="248"/>
      <c r="F23" s="248"/>
      <c r="G23" s="248"/>
      <c r="H23" s="248"/>
      <c r="I23" s="247"/>
      <c r="J23" s="248"/>
      <c r="K23" s="248"/>
      <c r="L23" s="248"/>
      <c r="M23" s="248"/>
      <c r="N23" s="248"/>
      <c r="O23" s="248"/>
      <c r="P23" s="248"/>
      <c r="Q23" s="248"/>
      <c r="R23" s="248"/>
      <c r="S23" s="248"/>
      <c r="T23" s="248"/>
      <c r="U23" s="248"/>
      <c r="V23" s="248"/>
      <c r="W23" s="248"/>
      <c r="X23" s="248"/>
      <c r="Y23" s="248"/>
      <c r="Z23" s="248"/>
      <c r="AA23" s="248"/>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X23" s="248"/>
      <c r="AY23" s="248"/>
      <c r="AZ23" s="248"/>
      <c r="BA23" s="248"/>
      <c r="BB23" s="249"/>
    </row>
    <row r="24" customFormat="false" ht="34.5" hidden="false" customHeight="true" outlineLevel="0" collapsed="false">
      <c r="A24" s="243"/>
      <c r="B24" s="243"/>
      <c r="C24" s="243"/>
      <c r="D24" s="248"/>
      <c r="E24" s="248"/>
      <c r="F24" s="248"/>
      <c r="G24" s="248"/>
      <c r="H24" s="248"/>
      <c r="I24" s="247"/>
      <c r="J24" s="248"/>
      <c r="K24" s="248"/>
      <c r="L24" s="248"/>
      <c r="M24" s="248"/>
      <c r="N24" s="248"/>
      <c r="O24" s="248"/>
      <c r="P24" s="248"/>
      <c r="Q24" s="248"/>
      <c r="R24" s="248"/>
      <c r="S24" s="248"/>
      <c r="T24" s="248"/>
      <c r="U24" s="248"/>
      <c r="V24" s="248"/>
      <c r="W24" s="248"/>
      <c r="X24" s="248"/>
      <c r="Y24" s="248"/>
      <c r="Z24" s="248"/>
      <c r="AA24" s="248"/>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248"/>
      <c r="AY24" s="248"/>
      <c r="AZ24" s="248"/>
      <c r="BA24" s="248"/>
      <c r="BB24" s="249"/>
    </row>
    <row r="25" customFormat="false" ht="34.5" hidden="false" customHeight="true" outlineLevel="0" collapsed="false">
      <c r="A25" s="243"/>
      <c r="B25" s="243"/>
      <c r="C25" s="243"/>
      <c r="D25" s="248"/>
      <c r="E25" s="248"/>
      <c r="F25" s="248"/>
      <c r="G25" s="248"/>
      <c r="H25" s="248"/>
      <c r="I25" s="247"/>
      <c r="J25" s="248"/>
      <c r="K25" s="248"/>
      <c r="L25" s="248"/>
      <c r="M25" s="248"/>
      <c r="N25" s="248"/>
      <c r="O25" s="248"/>
      <c r="P25" s="248"/>
      <c r="Q25" s="248"/>
      <c r="R25" s="248"/>
      <c r="S25" s="248"/>
      <c r="T25" s="248"/>
      <c r="U25" s="248"/>
      <c r="V25" s="248"/>
      <c r="W25" s="248"/>
      <c r="X25" s="248"/>
      <c r="Y25" s="248"/>
      <c r="Z25" s="248"/>
      <c r="AA25" s="248"/>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248"/>
      <c r="AY25" s="248"/>
      <c r="AZ25" s="248"/>
      <c r="BA25" s="248"/>
      <c r="BB25" s="249"/>
    </row>
    <row r="26" customFormat="false" ht="34.5" hidden="false" customHeight="true" outlineLevel="0" collapsed="false">
      <c r="A26" s="243"/>
      <c r="B26" s="243"/>
      <c r="C26" s="243"/>
      <c r="D26" s="248"/>
      <c r="E26" s="248"/>
      <c r="F26" s="248"/>
      <c r="G26" s="248"/>
      <c r="H26" s="248"/>
      <c r="I26" s="250"/>
      <c r="J26" s="248"/>
      <c r="K26" s="248"/>
      <c r="L26" s="248"/>
      <c r="M26" s="248"/>
      <c r="N26" s="248"/>
      <c r="O26" s="248"/>
      <c r="P26" s="248"/>
      <c r="Q26" s="248"/>
      <c r="R26" s="248"/>
      <c r="S26" s="248"/>
      <c r="T26" s="248"/>
      <c r="U26" s="248"/>
      <c r="V26" s="248"/>
      <c r="W26" s="248"/>
      <c r="X26" s="248"/>
      <c r="Y26" s="248"/>
      <c r="Z26" s="248"/>
      <c r="AA26" s="248"/>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248"/>
      <c r="AY26" s="248"/>
      <c r="AZ26" s="248"/>
      <c r="BA26" s="248"/>
      <c r="BB26" s="249"/>
    </row>
    <row r="27" customFormat="false" ht="34.5" hidden="false" customHeight="true" outlineLevel="0" collapsed="false">
      <c r="A27" s="243"/>
      <c r="B27" s="243"/>
      <c r="C27" s="243"/>
      <c r="D27" s="248"/>
      <c r="E27" s="248"/>
      <c r="F27" s="248"/>
      <c r="G27" s="248"/>
      <c r="H27" s="248"/>
      <c r="I27" s="251"/>
      <c r="J27" s="248"/>
      <c r="K27" s="248"/>
      <c r="L27" s="248"/>
      <c r="M27" s="248"/>
      <c r="N27" s="248"/>
      <c r="O27" s="248"/>
      <c r="P27" s="248"/>
      <c r="Q27" s="248"/>
      <c r="R27" s="248"/>
      <c r="S27" s="248"/>
      <c r="T27" s="248"/>
      <c r="U27" s="248"/>
      <c r="V27" s="248"/>
      <c r="W27" s="248"/>
      <c r="X27" s="248"/>
      <c r="Y27" s="248"/>
      <c r="Z27" s="248"/>
      <c r="AA27" s="248"/>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248"/>
      <c r="AY27" s="248"/>
      <c r="AZ27" s="248"/>
      <c r="BA27" s="248"/>
      <c r="BB27" s="249"/>
    </row>
    <row r="28" customFormat="false" ht="34.5" hidden="false" customHeight="true" outlineLevel="0" collapsed="false">
      <c r="A28" s="243"/>
      <c r="B28" s="243"/>
      <c r="C28" s="243"/>
      <c r="D28" s="248"/>
      <c r="E28" s="248"/>
      <c r="F28" s="248"/>
      <c r="G28" s="248"/>
      <c r="H28" s="248"/>
      <c r="I28" s="251"/>
      <c r="J28" s="248"/>
      <c r="K28" s="248"/>
      <c r="L28" s="248"/>
      <c r="M28" s="248"/>
      <c r="N28" s="248"/>
      <c r="O28" s="248"/>
      <c r="P28" s="248"/>
      <c r="Q28" s="248"/>
      <c r="R28" s="248"/>
      <c r="S28" s="248"/>
      <c r="T28" s="248"/>
      <c r="U28" s="248"/>
      <c r="V28" s="248"/>
      <c r="W28" s="248"/>
      <c r="X28" s="248"/>
      <c r="Y28" s="248"/>
      <c r="Z28" s="248"/>
      <c r="AA28" s="248"/>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X28" s="248"/>
      <c r="AY28" s="248"/>
      <c r="AZ28" s="248"/>
      <c r="BA28" s="248"/>
      <c r="BB28" s="249"/>
    </row>
    <row r="29" customFormat="false" ht="34.5" hidden="false" customHeight="true" outlineLevel="0" collapsed="false">
      <c r="A29" s="252"/>
      <c r="B29" s="252"/>
      <c r="C29" s="252"/>
      <c r="D29" s="248"/>
      <c r="E29" s="248"/>
      <c r="F29" s="248"/>
      <c r="G29" s="248"/>
      <c r="H29" s="248"/>
      <c r="I29" s="251"/>
      <c r="J29" s="248"/>
      <c r="K29" s="248"/>
      <c r="L29" s="248"/>
      <c r="M29" s="248"/>
      <c r="N29" s="248"/>
      <c r="O29" s="248"/>
      <c r="P29" s="248"/>
      <c r="Q29" s="248"/>
      <c r="R29" s="248"/>
      <c r="S29" s="248"/>
      <c r="T29" s="248"/>
      <c r="U29" s="248"/>
      <c r="V29" s="248"/>
      <c r="W29" s="248"/>
      <c r="X29" s="248"/>
      <c r="Y29" s="248"/>
      <c r="Z29" s="248"/>
      <c r="AA29" s="248"/>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248"/>
      <c r="AY29" s="248"/>
      <c r="AZ29" s="248"/>
      <c r="BA29" s="248"/>
      <c r="BB29" s="249"/>
    </row>
    <row r="30" customFormat="false" ht="34.5" hidden="false" customHeight="true" outlineLevel="0" collapsed="false">
      <c r="A30" s="253"/>
      <c r="B30" s="253"/>
      <c r="C30" s="253"/>
      <c r="D30" s="254"/>
      <c r="E30" s="248"/>
      <c r="F30" s="248"/>
      <c r="G30" s="248"/>
      <c r="H30" s="248"/>
      <c r="I30" s="251"/>
      <c r="J30" s="248"/>
      <c r="K30" s="248"/>
      <c r="L30" s="248"/>
      <c r="M30" s="248"/>
      <c r="N30" s="248"/>
      <c r="O30" s="248"/>
      <c r="P30" s="248"/>
      <c r="Q30" s="248"/>
      <c r="R30" s="248"/>
      <c r="S30" s="248"/>
      <c r="T30" s="248"/>
      <c r="U30" s="248"/>
      <c r="V30" s="248"/>
      <c r="W30" s="248"/>
      <c r="X30" s="248"/>
      <c r="Y30" s="248"/>
      <c r="Z30" s="248"/>
      <c r="AA30" s="248"/>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248"/>
      <c r="AY30" s="248"/>
      <c r="AZ30" s="248"/>
      <c r="BA30" s="248"/>
      <c r="BB30" s="249"/>
    </row>
    <row r="31" customFormat="false" ht="34.5" hidden="false" customHeight="true" outlineLevel="0" collapsed="false">
      <c r="A31" s="255"/>
      <c r="B31" s="255"/>
      <c r="C31" s="255"/>
      <c r="D31" s="248"/>
      <c r="E31" s="248"/>
      <c r="F31" s="248"/>
      <c r="G31" s="248"/>
      <c r="H31" s="248"/>
      <c r="I31" s="251"/>
      <c r="J31" s="248"/>
      <c r="K31" s="248"/>
      <c r="L31" s="248"/>
      <c r="M31" s="248"/>
      <c r="N31" s="248"/>
      <c r="O31" s="248"/>
      <c r="P31" s="248"/>
      <c r="Q31" s="248"/>
      <c r="R31" s="248"/>
      <c r="S31" s="248"/>
      <c r="T31" s="248"/>
      <c r="U31" s="248"/>
      <c r="V31" s="248"/>
      <c r="W31" s="248"/>
      <c r="X31" s="248"/>
      <c r="Y31" s="248"/>
      <c r="Z31" s="248"/>
      <c r="AA31" s="248"/>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AX31" s="248"/>
      <c r="AY31" s="248"/>
      <c r="AZ31" s="248"/>
      <c r="BA31" s="248"/>
      <c r="BB31" s="249"/>
    </row>
    <row r="32" customFormat="false" ht="34.5" hidden="false" customHeight="true" outlineLevel="0" collapsed="false">
      <c r="A32" s="243"/>
      <c r="B32" s="243"/>
      <c r="C32" s="243"/>
      <c r="D32" s="248"/>
      <c r="E32" s="248"/>
      <c r="F32" s="248"/>
      <c r="G32" s="248"/>
      <c r="H32" s="248"/>
      <c r="I32" s="251"/>
      <c r="J32" s="248"/>
      <c r="K32" s="248"/>
      <c r="L32" s="248"/>
      <c r="M32" s="248"/>
      <c r="N32" s="248"/>
      <c r="O32" s="248"/>
      <c r="P32" s="248"/>
      <c r="Q32" s="248"/>
      <c r="R32" s="248"/>
      <c r="S32" s="248"/>
      <c r="T32" s="248"/>
      <c r="U32" s="248"/>
      <c r="V32" s="248"/>
      <c r="W32" s="248"/>
      <c r="X32" s="248"/>
      <c r="Y32" s="248"/>
      <c r="Z32" s="248"/>
      <c r="AA32" s="248"/>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AX32" s="248"/>
      <c r="AY32" s="248"/>
      <c r="AZ32" s="248"/>
      <c r="BA32" s="248"/>
      <c r="BB32" s="249"/>
    </row>
    <row r="33" customFormat="false" ht="34.5" hidden="false" customHeight="true" outlineLevel="0" collapsed="false">
      <c r="A33" s="243"/>
      <c r="B33" s="243"/>
      <c r="C33" s="243"/>
      <c r="D33" s="248"/>
      <c r="E33" s="248"/>
      <c r="F33" s="248"/>
      <c r="G33" s="248"/>
      <c r="H33" s="248"/>
      <c r="I33" s="251"/>
      <c r="J33" s="248"/>
      <c r="K33" s="248"/>
      <c r="L33" s="248"/>
      <c r="M33" s="248"/>
      <c r="N33" s="248"/>
      <c r="O33" s="248"/>
      <c r="P33" s="248"/>
      <c r="Q33" s="248"/>
      <c r="R33" s="248"/>
      <c r="S33" s="248"/>
      <c r="T33" s="248"/>
      <c r="U33" s="248"/>
      <c r="V33" s="248"/>
      <c r="W33" s="248"/>
      <c r="X33" s="248"/>
      <c r="Y33" s="248"/>
      <c r="Z33" s="248"/>
      <c r="AA33" s="248"/>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8"/>
      <c r="AX33" s="248"/>
      <c r="AY33" s="248"/>
      <c r="AZ33" s="248"/>
      <c r="BA33" s="248"/>
      <c r="BB33" s="249"/>
    </row>
    <row r="34" customFormat="false" ht="34.5" hidden="false" customHeight="true" outlineLevel="0" collapsed="false">
      <c r="A34" s="243"/>
      <c r="B34" s="243"/>
      <c r="C34" s="243"/>
      <c r="D34" s="248"/>
      <c r="E34" s="248"/>
      <c r="F34" s="248"/>
      <c r="G34" s="248"/>
      <c r="H34" s="248"/>
      <c r="I34" s="251"/>
      <c r="J34" s="248"/>
      <c r="K34" s="248"/>
      <c r="L34" s="248"/>
      <c r="M34" s="248"/>
      <c r="N34" s="248"/>
      <c r="O34" s="248"/>
      <c r="P34" s="248"/>
      <c r="Q34" s="248"/>
      <c r="R34" s="248"/>
      <c r="S34" s="248"/>
      <c r="T34" s="248"/>
      <c r="U34" s="248"/>
      <c r="V34" s="248"/>
      <c r="W34" s="248"/>
      <c r="X34" s="248"/>
      <c r="Y34" s="248"/>
      <c r="Z34" s="248"/>
      <c r="AA34" s="248"/>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X34" s="248"/>
      <c r="AY34" s="248"/>
      <c r="AZ34" s="248"/>
      <c r="BA34" s="248"/>
      <c r="BB34" s="249"/>
    </row>
    <row r="35" customFormat="false" ht="34.5" hidden="false" customHeight="true" outlineLevel="0" collapsed="false">
      <c r="A35" s="243"/>
      <c r="B35" s="243"/>
      <c r="C35" s="243"/>
      <c r="D35" s="248"/>
      <c r="E35" s="248"/>
      <c r="F35" s="248"/>
      <c r="G35" s="248"/>
      <c r="H35" s="248"/>
      <c r="I35" s="251"/>
      <c r="J35" s="248"/>
      <c r="K35" s="248"/>
      <c r="L35" s="248"/>
      <c r="M35" s="248"/>
      <c r="N35" s="248"/>
      <c r="O35" s="248"/>
      <c r="P35" s="248"/>
      <c r="Q35" s="248"/>
      <c r="R35" s="248"/>
      <c r="S35" s="248"/>
      <c r="T35" s="248"/>
      <c r="U35" s="248"/>
      <c r="V35" s="248"/>
      <c r="W35" s="248"/>
      <c r="X35" s="248"/>
      <c r="Y35" s="248"/>
      <c r="Z35" s="248"/>
      <c r="AA35" s="248"/>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8"/>
      <c r="AX35" s="248"/>
      <c r="AY35" s="248"/>
      <c r="AZ35" s="248"/>
      <c r="BA35" s="248"/>
      <c r="BB35" s="249"/>
    </row>
    <row r="36" customFormat="false" ht="34.5" hidden="false" customHeight="true" outlineLevel="0" collapsed="false">
      <c r="A36" s="243"/>
      <c r="B36" s="243"/>
      <c r="C36" s="243"/>
      <c r="D36" s="248"/>
      <c r="E36" s="248"/>
      <c r="F36" s="248"/>
      <c r="G36" s="248"/>
      <c r="H36" s="248"/>
      <c r="I36" s="251"/>
      <c r="J36" s="248"/>
      <c r="K36" s="248"/>
      <c r="L36" s="248"/>
      <c r="M36" s="248"/>
      <c r="N36" s="248"/>
      <c r="O36" s="248"/>
      <c r="P36" s="248"/>
      <c r="Q36" s="248"/>
      <c r="R36" s="248"/>
      <c r="S36" s="248"/>
      <c r="T36" s="248"/>
      <c r="U36" s="248"/>
      <c r="V36" s="248"/>
      <c r="W36" s="248"/>
      <c r="X36" s="248"/>
      <c r="Y36" s="248"/>
      <c r="Z36" s="248"/>
      <c r="AA36" s="248"/>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248"/>
      <c r="AY36" s="248"/>
      <c r="AZ36" s="248"/>
      <c r="BA36" s="248"/>
      <c r="BB36" s="249"/>
    </row>
    <row r="37" customFormat="false" ht="34.5" hidden="false" customHeight="true" outlineLevel="0" collapsed="false">
      <c r="A37" s="243"/>
      <c r="B37" s="243"/>
      <c r="C37" s="243"/>
      <c r="D37" s="248"/>
      <c r="E37" s="248"/>
      <c r="F37" s="248"/>
      <c r="G37" s="248"/>
      <c r="H37" s="248"/>
      <c r="I37" s="251"/>
      <c r="J37" s="248"/>
      <c r="K37" s="248"/>
      <c r="L37" s="248"/>
      <c r="M37" s="248"/>
      <c r="N37" s="248"/>
      <c r="O37" s="248"/>
      <c r="P37" s="248"/>
      <c r="Q37" s="248"/>
      <c r="R37" s="248"/>
      <c r="S37" s="248"/>
      <c r="T37" s="248"/>
      <c r="U37" s="248"/>
      <c r="V37" s="248"/>
      <c r="W37" s="248"/>
      <c r="X37" s="248"/>
      <c r="Y37" s="248"/>
      <c r="Z37" s="248"/>
      <c r="AA37" s="248"/>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248"/>
      <c r="AY37" s="248"/>
      <c r="AZ37" s="248"/>
      <c r="BA37" s="248"/>
      <c r="BB37" s="249"/>
    </row>
    <row r="38" customFormat="false" ht="34.5" hidden="false" customHeight="true" outlineLevel="0" collapsed="false">
      <c r="A38" s="243"/>
      <c r="B38" s="243"/>
      <c r="C38" s="243"/>
      <c r="D38" s="248"/>
      <c r="E38" s="248"/>
      <c r="F38" s="248"/>
      <c r="G38" s="248"/>
      <c r="H38" s="248"/>
      <c r="I38" s="251"/>
      <c r="J38" s="248"/>
      <c r="K38" s="248"/>
      <c r="L38" s="248"/>
      <c r="M38" s="248"/>
      <c r="N38" s="248"/>
      <c r="O38" s="248"/>
      <c r="P38" s="248"/>
      <c r="Q38" s="248"/>
      <c r="R38" s="248"/>
      <c r="S38" s="248"/>
      <c r="T38" s="248"/>
      <c r="U38" s="248"/>
      <c r="V38" s="248"/>
      <c r="W38" s="248"/>
      <c r="X38" s="248"/>
      <c r="Y38" s="248"/>
      <c r="Z38" s="248"/>
      <c r="AA38" s="248"/>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X38" s="248"/>
      <c r="AY38" s="248"/>
      <c r="AZ38" s="248"/>
      <c r="BA38" s="248"/>
      <c r="BB38" s="249"/>
    </row>
    <row r="39" customFormat="false" ht="34.5" hidden="false" customHeight="true" outlineLevel="0" collapsed="false">
      <c r="A39" s="243"/>
      <c r="B39" s="243"/>
      <c r="C39" s="243"/>
      <c r="D39" s="248"/>
      <c r="E39" s="248"/>
      <c r="F39" s="248"/>
      <c r="G39" s="248"/>
      <c r="H39" s="248"/>
      <c r="I39" s="251"/>
      <c r="J39" s="248"/>
      <c r="K39" s="248"/>
      <c r="L39" s="248"/>
      <c r="M39" s="248"/>
      <c r="N39" s="248"/>
      <c r="O39" s="248"/>
      <c r="P39" s="248"/>
      <c r="Q39" s="248"/>
      <c r="R39" s="248"/>
      <c r="S39" s="248"/>
      <c r="T39" s="248"/>
      <c r="U39" s="248"/>
      <c r="V39" s="248"/>
      <c r="W39" s="248"/>
      <c r="X39" s="248"/>
      <c r="Y39" s="248"/>
      <c r="Z39" s="248"/>
      <c r="AA39" s="248"/>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248"/>
      <c r="AY39" s="248"/>
      <c r="AZ39" s="248"/>
      <c r="BA39" s="248"/>
      <c r="BB39" s="249"/>
    </row>
    <row r="40" customFormat="false" ht="34.5" hidden="false" customHeight="true" outlineLevel="0" collapsed="false">
      <c r="A40" s="243"/>
      <c r="B40" s="243"/>
      <c r="C40" s="243"/>
      <c r="D40" s="248"/>
      <c r="E40" s="248"/>
      <c r="F40" s="248"/>
      <c r="G40" s="248"/>
      <c r="H40" s="248"/>
      <c r="I40" s="251"/>
      <c r="J40" s="248"/>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X40" s="248"/>
      <c r="AY40" s="248"/>
      <c r="AZ40" s="248"/>
      <c r="BA40" s="248"/>
      <c r="BB40" s="249"/>
    </row>
    <row r="41" customFormat="false" ht="34.5" hidden="false" customHeight="true" outlineLevel="0" collapsed="false">
      <c r="A41" s="243"/>
      <c r="B41" s="243"/>
      <c r="C41" s="243"/>
      <c r="D41" s="248"/>
      <c r="E41" s="248"/>
      <c r="F41" s="248"/>
      <c r="G41" s="248"/>
      <c r="H41" s="248"/>
      <c r="I41" s="251"/>
      <c r="J41" s="248"/>
      <c r="K41" s="248"/>
      <c r="L41" s="248"/>
      <c r="M41" s="248"/>
      <c r="N41" s="248"/>
      <c r="O41" s="248"/>
      <c r="P41" s="248"/>
      <c r="Q41" s="248"/>
      <c r="R41" s="248"/>
      <c r="S41" s="248"/>
      <c r="T41" s="248"/>
      <c r="U41" s="248"/>
      <c r="V41" s="248"/>
      <c r="W41" s="248"/>
      <c r="X41" s="248"/>
      <c r="Y41" s="248"/>
      <c r="Z41" s="248"/>
      <c r="AA41" s="248"/>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8"/>
      <c r="AX41" s="248"/>
      <c r="AY41" s="248"/>
      <c r="AZ41" s="248"/>
      <c r="BA41" s="248"/>
      <c r="BB41" s="249"/>
    </row>
    <row r="42" customFormat="false" ht="34.5" hidden="false" customHeight="true" outlineLevel="0" collapsed="false">
      <c r="A42" s="243"/>
      <c r="B42" s="243"/>
      <c r="C42" s="243"/>
      <c r="D42" s="248"/>
      <c r="E42" s="248"/>
      <c r="F42" s="248"/>
      <c r="G42" s="248"/>
      <c r="H42" s="248"/>
      <c r="I42" s="251"/>
      <c r="J42" s="248"/>
      <c r="K42" s="248"/>
      <c r="L42" s="248"/>
      <c r="M42" s="248"/>
      <c r="N42" s="248"/>
      <c r="O42" s="248"/>
      <c r="P42" s="248"/>
      <c r="Q42" s="248"/>
      <c r="R42" s="248"/>
      <c r="S42" s="248"/>
      <c r="T42" s="248"/>
      <c r="U42" s="248"/>
      <c r="V42" s="248"/>
      <c r="W42" s="248"/>
      <c r="X42" s="248"/>
      <c r="Y42" s="248"/>
      <c r="Z42" s="248"/>
      <c r="AA42" s="248"/>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8"/>
      <c r="AX42" s="248"/>
      <c r="AY42" s="248"/>
      <c r="AZ42" s="248"/>
      <c r="BA42" s="248"/>
      <c r="BB42" s="249"/>
    </row>
    <row r="43" customFormat="false" ht="34.5" hidden="false" customHeight="true" outlineLevel="0" collapsed="false">
      <c r="A43" s="243"/>
      <c r="B43" s="243"/>
      <c r="C43" s="243"/>
      <c r="D43" s="248"/>
      <c r="E43" s="248"/>
      <c r="F43" s="248"/>
      <c r="G43" s="248"/>
      <c r="H43" s="248"/>
      <c r="I43" s="251"/>
      <c r="J43" s="248"/>
      <c r="K43" s="248"/>
      <c r="L43" s="248"/>
      <c r="M43" s="248"/>
      <c r="N43" s="248"/>
      <c r="O43" s="248"/>
      <c r="P43" s="248"/>
      <c r="Q43" s="248"/>
      <c r="R43" s="248"/>
      <c r="S43" s="248"/>
      <c r="T43" s="248"/>
      <c r="U43" s="248"/>
      <c r="V43" s="248"/>
      <c r="W43" s="248"/>
      <c r="X43" s="248"/>
      <c r="Y43" s="248"/>
      <c r="Z43" s="248"/>
      <c r="AA43" s="248"/>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8"/>
      <c r="AX43" s="248"/>
      <c r="AY43" s="248"/>
      <c r="AZ43" s="248"/>
      <c r="BA43" s="248"/>
      <c r="BB43" s="249"/>
    </row>
    <row r="44" customFormat="false" ht="34.5" hidden="false" customHeight="true" outlineLevel="0" collapsed="false">
      <c r="A44" s="243"/>
      <c r="B44" s="243"/>
      <c r="C44" s="243"/>
      <c r="D44" s="248"/>
      <c r="E44" s="248"/>
      <c r="F44" s="248"/>
      <c r="G44" s="248"/>
      <c r="H44" s="248"/>
      <c r="I44" s="251"/>
      <c r="J44" s="248"/>
      <c r="K44" s="248"/>
      <c r="L44" s="248"/>
      <c r="M44" s="248"/>
      <c r="N44" s="248"/>
      <c r="O44" s="248"/>
      <c r="P44" s="248"/>
      <c r="Q44" s="248"/>
      <c r="R44" s="248"/>
      <c r="S44" s="248"/>
      <c r="T44" s="248"/>
      <c r="U44" s="248"/>
      <c r="V44" s="248"/>
      <c r="W44" s="248"/>
      <c r="X44" s="248"/>
      <c r="Y44" s="248"/>
      <c r="Z44" s="248"/>
      <c r="AA44" s="248"/>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AX44" s="248"/>
      <c r="AY44" s="248"/>
      <c r="AZ44" s="248"/>
      <c r="BA44" s="248"/>
      <c r="BB44" s="249"/>
    </row>
    <row r="45" customFormat="false" ht="34.5" hidden="false" customHeight="true" outlineLevel="0" collapsed="false">
      <c r="A45" s="243"/>
      <c r="B45" s="243"/>
      <c r="C45" s="243"/>
      <c r="D45" s="248"/>
      <c r="E45" s="248"/>
      <c r="F45" s="248"/>
      <c r="G45" s="248"/>
      <c r="H45" s="248"/>
      <c r="I45" s="251"/>
      <c r="J45" s="248"/>
      <c r="K45" s="248"/>
      <c r="L45" s="248"/>
      <c r="M45" s="248"/>
      <c r="N45" s="248"/>
      <c r="O45" s="248"/>
      <c r="P45" s="248"/>
      <c r="Q45" s="248"/>
      <c r="R45" s="248"/>
      <c r="S45" s="248"/>
      <c r="T45" s="248"/>
      <c r="U45" s="248"/>
      <c r="V45" s="248"/>
      <c r="W45" s="248"/>
      <c r="X45" s="248"/>
      <c r="Y45" s="248"/>
      <c r="Z45" s="248"/>
      <c r="AA45" s="248"/>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X45" s="248"/>
      <c r="AY45" s="248"/>
      <c r="AZ45" s="248"/>
      <c r="BA45" s="248"/>
      <c r="BB45" s="249"/>
    </row>
    <row r="46" customFormat="false" ht="34.5" hidden="false" customHeight="true" outlineLevel="0" collapsed="false">
      <c r="A46" s="243"/>
      <c r="B46" s="243"/>
      <c r="C46" s="243"/>
      <c r="D46" s="248"/>
      <c r="E46" s="248"/>
      <c r="F46" s="248"/>
      <c r="G46" s="248"/>
      <c r="H46" s="248"/>
      <c r="I46" s="251"/>
      <c r="J46" s="248"/>
      <c r="K46" s="248"/>
      <c r="L46" s="248"/>
      <c r="M46" s="248"/>
      <c r="N46" s="248"/>
      <c r="O46" s="248"/>
      <c r="P46" s="248"/>
      <c r="Q46" s="248"/>
      <c r="R46" s="248"/>
      <c r="S46" s="248"/>
      <c r="T46" s="248"/>
      <c r="U46" s="248"/>
      <c r="V46" s="248"/>
      <c r="W46" s="248"/>
      <c r="X46" s="248"/>
      <c r="Y46" s="248"/>
      <c r="Z46" s="248"/>
      <c r="AA46" s="248"/>
      <c r="AB46" s="248"/>
      <c r="AC46" s="248"/>
      <c r="AD46" s="248"/>
      <c r="AE46" s="248"/>
      <c r="AF46" s="248"/>
      <c r="AG46" s="248"/>
      <c r="AH46" s="248"/>
      <c r="AI46" s="248"/>
      <c r="AJ46" s="248"/>
      <c r="AK46" s="248"/>
      <c r="AL46" s="248"/>
      <c r="AM46" s="248"/>
      <c r="AN46" s="248"/>
      <c r="AO46" s="248"/>
      <c r="AP46" s="248"/>
      <c r="AQ46" s="248"/>
      <c r="AR46" s="248"/>
      <c r="AS46" s="248"/>
      <c r="AT46" s="248"/>
      <c r="AU46" s="248"/>
      <c r="AV46" s="248"/>
      <c r="AW46" s="248"/>
      <c r="AX46" s="248"/>
      <c r="AY46" s="248"/>
      <c r="AZ46" s="248"/>
      <c r="BA46" s="248"/>
      <c r="BB46" s="249"/>
    </row>
    <row r="47" customFormat="false" ht="34.5" hidden="false" customHeight="true" outlineLevel="0" collapsed="false">
      <c r="A47" s="243"/>
      <c r="B47" s="243"/>
      <c r="C47" s="243"/>
      <c r="D47" s="248"/>
      <c r="E47" s="248"/>
      <c r="F47" s="248"/>
      <c r="G47" s="248"/>
      <c r="H47" s="248"/>
      <c r="I47" s="251"/>
      <c r="J47" s="248"/>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8"/>
      <c r="AX47" s="248"/>
      <c r="AY47" s="248"/>
      <c r="AZ47" s="248"/>
      <c r="BA47" s="248"/>
      <c r="BB47" s="249"/>
    </row>
    <row r="48" customFormat="false" ht="34.5" hidden="false" customHeight="true" outlineLevel="0" collapsed="false">
      <c r="A48" s="243"/>
      <c r="B48" s="243"/>
      <c r="C48" s="243"/>
      <c r="D48" s="248"/>
      <c r="E48" s="248"/>
      <c r="F48" s="248"/>
      <c r="G48" s="248"/>
      <c r="H48" s="248"/>
      <c r="I48" s="251"/>
      <c r="J48" s="248"/>
      <c r="K48" s="248"/>
      <c r="L48" s="248"/>
      <c r="M48" s="248"/>
      <c r="N48" s="248"/>
      <c r="O48" s="248"/>
      <c r="P48" s="248"/>
      <c r="Q48" s="248"/>
      <c r="R48" s="248"/>
      <c r="S48" s="248"/>
      <c r="T48" s="248"/>
      <c r="U48" s="248"/>
      <c r="V48" s="248"/>
      <c r="W48" s="248"/>
      <c r="X48" s="248"/>
      <c r="Y48" s="248"/>
      <c r="Z48" s="248"/>
      <c r="AA48" s="248"/>
      <c r="AB48" s="248"/>
      <c r="AC48" s="248"/>
      <c r="AD48" s="248"/>
      <c r="AE48" s="248"/>
      <c r="AF48" s="248"/>
      <c r="AG48" s="248"/>
      <c r="AH48" s="248"/>
      <c r="AI48" s="248"/>
      <c r="AJ48" s="248"/>
      <c r="AK48" s="248"/>
      <c r="AL48" s="248"/>
      <c r="AM48" s="248"/>
      <c r="AN48" s="248"/>
      <c r="AO48" s="248"/>
      <c r="AP48" s="248"/>
      <c r="AQ48" s="248"/>
      <c r="AR48" s="248"/>
      <c r="AS48" s="248"/>
      <c r="AT48" s="248"/>
      <c r="AU48" s="248"/>
      <c r="AV48" s="248"/>
      <c r="AW48" s="248"/>
      <c r="AX48" s="248"/>
      <c r="AY48" s="248"/>
      <c r="AZ48" s="248"/>
      <c r="BA48" s="248"/>
      <c r="BB48" s="249"/>
    </row>
    <row r="49" customFormat="false" ht="34.5" hidden="false" customHeight="true" outlineLevel="0" collapsed="false">
      <c r="A49" s="243"/>
      <c r="B49" s="243"/>
      <c r="C49" s="243"/>
      <c r="D49" s="248"/>
      <c r="E49" s="248"/>
      <c r="F49" s="248"/>
      <c r="G49" s="248"/>
      <c r="H49" s="248"/>
      <c r="I49" s="251"/>
      <c r="J49" s="248"/>
      <c r="K49" s="248"/>
      <c r="L49" s="248"/>
      <c r="M49" s="248"/>
      <c r="N49" s="248"/>
      <c r="O49" s="248"/>
      <c r="P49" s="248"/>
      <c r="Q49" s="248"/>
      <c r="R49" s="248"/>
      <c r="S49" s="248"/>
      <c r="T49" s="248"/>
      <c r="U49" s="248"/>
      <c r="V49" s="248"/>
      <c r="W49" s="248"/>
      <c r="X49" s="248"/>
      <c r="Y49" s="248"/>
      <c r="Z49" s="248"/>
      <c r="AA49" s="248"/>
      <c r="AB49" s="248"/>
      <c r="AC49" s="248"/>
      <c r="AD49" s="248"/>
      <c r="AE49" s="248"/>
      <c r="AF49" s="248"/>
      <c r="AG49" s="248"/>
      <c r="AH49" s="248"/>
      <c r="AI49" s="248"/>
      <c r="AJ49" s="248"/>
      <c r="AK49" s="248"/>
      <c r="AL49" s="248"/>
      <c r="AM49" s="248"/>
      <c r="AN49" s="248"/>
      <c r="AO49" s="248"/>
      <c r="AP49" s="248"/>
      <c r="AQ49" s="248"/>
      <c r="AR49" s="248"/>
      <c r="AS49" s="248"/>
      <c r="AT49" s="248"/>
      <c r="AU49" s="248"/>
      <c r="AV49" s="248"/>
      <c r="AW49" s="248"/>
      <c r="AX49" s="248"/>
      <c r="AY49" s="248"/>
      <c r="AZ49" s="248"/>
      <c r="BA49" s="248"/>
      <c r="BB49" s="249"/>
    </row>
    <row r="50" customFormat="false" ht="34.5" hidden="false" customHeight="true" outlineLevel="0" collapsed="false">
      <c r="A50" s="243"/>
      <c r="B50" s="243"/>
      <c r="C50" s="243"/>
      <c r="D50" s="248"/>
      <c r="E50" s="248"/>
      <c r="F50" s="248"/>
      <c r="G50" s="248"/>
      <c r="H50" s="248"/>
      <c r="I50" s="251"/>
      <c r="J50" s="248"/>
      <c r="K50" s="248"/>
      <c r="L50" s="248"/>
      <c r="M50" s="248"/>
      <c r="N50" s="248"/>
      <c r="O50" s="248"/>
      <c r="P50" s="248"/>
      <c r="Q50" s="248"/>
      <c r="R50" s="248"/>
      <c r="S50" s="248"/>
      <c r="T50" s="248"/>
      <c r="U50" s="248"/>
      <c r="V50" s="248"/>
      <c r="W50" s="248"/>
      <c r="X50" s="248"/>
      <c r="Y50" s="248"/>
      <c r="Z50" s="248"/>
      <c r="AA50" s="248"/>
      <c r="AB50" s="248"/>
      <c r="AC50" s="248"/>
      <c r="AD50" s="248"/>
      <c r="AE50" s="248"/>
      <c r="AF50" s="248"/>
      <c r="AG50" s="248"/>
      <c r="AH50" s="248"/>
      <c r="AI50" s="248"/>
      <c r="AJ50" s="248"/>
      <c r="AK50" s="248"/>
      <c r="AL50" s="248"/>
      <c r="AM50" s="248"/>
      <c r="AN50" s="248"/>
      <c r="AO50" s="248"/>
      <c r="AP50" s="248"/>
      <c r="AQ50" s="248"/>
      <c r="AR50" s="248"/>
      <c r="AS50" s="248"/>
      <c r="AT50" s="248"/>
      <c r="AU50" s="248"/>
      <c r="AV50" s="248"/>
      <c r="AW50" s="248"/>
      <c r="AX50" s="248"/>
      <c r="AY50" s="248"/>
      <c r="AZ50" s="248"/>
      <c r="BA50" s="248"/>
      <c r="BB50" s="249"/>
    </row>
    <row r="51" customFormat="false" ht="34.5" hidden="false" customHeight="true" outlineLevel="0" collapsed="false">
      <c r="A51" s="243"/>
      <c r="B51" s="243"/>
      <c r="C51" s="243"/>
      <c r="D51" s="248"/>
      <c r="E51" s="248"/>
      <c r="F51" s="248"/>
      <c r="G51" s="248"/>
      <c r="H51" s="248"/>
      <c r="I51" s="251"/>
      <c r="J51" s="248"/>
      <c r="K51" s="248"/>
      <c r="L51" s="248"/>
      <c r="M51" s="248"/>
      <c r="N51" s="248"/>
      <c r="O51" s="248"/>
      <c r="P51" s="248"/>
      <c r="Q51" s="248"/>
      <c r="R51" s="248"/>
      <c r="S51" s="248"/>
      <c r="T51" s="248"/>
      <c r="U51" s="248"/>
      <c r="V51" s="248"/>
      <c r="W51" s="248"/>
      <c r="X51" s="248"/>
      <c r="Y51" s="248"/>
      <c r="Z51" s="248"/>
      <c r="AA51" s="248"/>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8"/>
      <c r="AX51" s="248"/>
      <c r="AY51" s="248"/>
      <c r="AZ51" s="248"/>
      <c r="BA51" s="248"/>
      <c r="BB51" s="249"/>
    </row>
    <row r="52" customFormat="false" ht="34.5" hidden="false" customHeight="true" outlineLevel="0" collapsed="false">
      <c r="A52" s="243"/>
      <c r="B52" s="243"/>
      <c r="C52" s="243"/>
      <c r="D52" s="248"/>
      <c r="E52" s="248"/>
      <c r="F52" s="248"/>
      <c r="G52" s="248"/>
      <c r="H52" s="248"/>
      <c r="I52" s="251"/>
      <c r="J52" s="248"/>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8"/>
      <c r="AX52" s="248"/>
      <c r="AY52" s="248"/>
      <c r="AZ52" s="248"/>
      <c r="BA52" s="248"/>
      <c r="BB52" s="249"/>
    </row>
    <row r="53" customFormat="false" ht="34.5" hidden="false" customHeight="true" outlineLevel="0" collapsed="false">
      <c r="A53" s="243"/>
      <c r="B53" s="243"/>
      <c r="C53" s="243"/>
      <c r="D53" s="248"/>
      <c r="E53" s="248"/>
      <c r="F53" s="248"/>
      <c r="G53" s="248"/>
      <c r="H53" s="248"/>
      <c r="I53" s="251"/>
      <c r="J53" s="248"/>
      <c r="K53" s="248"/>
      <c r="L53" s="248"/>
      <c r="M53" s="248"/>
      <c r="N53" s="248"/>
      <c r="O53" s="248"/>
      <c r="P53" s="248"/>
      <c r="Q53" s="248"/>
      <c r="R53" s="248"/>
      <c r="S53" s="248"/>
      <c r="T53" s="248"/>
      <c r="U53" s="248"/>
      <c r="V53" s="248"/>
      <c r="W53" s="248"/>
      <c r="X53" s="248"/>
      <c r="Y53" s="248"/>
      <c r="Z53" s="248"/>
      <c r="AA53" s="248"/>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8"/>
      <c r="AX53" s="248"/>
      <c r="AY53" s="248"/>
      <c r="AZ53" s="248"/>
      <c r="BA53" s="248"/>
      <c r="BB53" s="249"/>
    </row>
    <row r="54" customFormat="false" ht="34.5" hidden="false" customHeight="true" outlineLevel="0" collapsed="false">
      <c r="A54" s="243"/>
      <c r="B54" s="243"/>
      <c r="C54" s="243"/>
      <c r="D54" s="248"/>
      <c r="E54" s="248"/>
      <c r="F54" s="248"/>
      <c r="G54" s="248"/>
      <c r="H54" s="248"/>
      <c r="I54" s="251"/>
      <c r="J54" s="248"/>
      <c r="K54" s="248"/>
      <c r="L54" s="248"/>
      <c r="M54" s="248"/>
      <c r="N54" s="248"/>
      <c r="O54" s="248"/>
      <c r="P54" s="248"/>
      <c r="Q54" s="248"/>
      <c r="R54" s="248"/>
      <c r="S54" s="248"/>
      <c r="T54" s="248"/>
      <c r="U54" s="248"/>
      <c r="V54" s="248"/>
      <c r="W54" s="248"/>
      <c r="X54" s="248"/>
      <c r="Y54" s="248"/>
      <c r="Z54" s="248"/>
      <c r="AA54" s="248"/>
      <c r="AB54" s="248"/>
      <c r="AC54" s="248"/>
      <c r="AD54" s="248"/>
      <c r="AE54" s="248"/>
      <c r="AF54" s="248"/>
      <c r="AG54" s="248"/>
      <c r="AH54" s="248"/>
      <c r="AI54" s="248"/>
      <c r="AJ54" s="248"/>
      <c r="AK54" s="248"/>
      <c r="AL54" s="248"/>
      <c r="AM54" s="248"/>
      <c r="AN54" s="248"/>
      <c r="AO54" s="248"/>
      <c r="AP54" s="248"/>
      <c r="AQ54" s="248"/>
      <c r="AR54" s="248"/>
      <c r="AS54" s="248"/>
      <c r="AT54" s="248"/>
      <c r="AU54" s="248"/>
      <c r="AV54" s="248"/>
      <c r="AW54" s="248"/>
      <c r="AX54" s="248"/>
      <c r="AY54" s="248"/>
      <c r="AZ54" s="248"/>
      <c r="BA54" s="248"/>
      <c r="BB54" s="249"/>
    </row>
    <row r="55" customFormat="false" ht="34.5" hidden="false" customHeight="true" outlineLevel="0" collapsed="false">
      <c r="A55" s="243"/>
      <c r="B55" s="243"/>
      <c r="C55" s="243"/>
      <c r="D55" s="248"/>
      <c r="E55" s="248"/>
      <c r="F55" s="248"/>
      <c r="G55" s="248"/>
      <c r="H55" s="248"/>
      <c r="I55" s="251"/>
      <c r="J55" s="248"/>
      <c r="K55" s="248"/>
      <c r="L55" s="248"/>
      <c r="M55" s="248"/>
      <c r="N55" s="248"/>
      <c r="O55" s="248"/>
      <c r="P55" s="248"/>
      <c r="Q55" s="248"/>
      <c r="R55" s="248"/>
      <c r="S55" s="248"/>
      <c r="T55" s="248"/>
      <c r="U55" s="248"/>
      <c r="V55" s="248"/>
      <c r="W55" s="248"/>
      <c r="X55" s="248"/>
      <c r="Y55" s="248"/>
      <c r="Z55" s="248"/>
      <c r="AA55" s="248"/>
      <c r="AB55" s="248"/>
      <c r="AC55" s="248"/>
      <c r="AD55" s="248"/>
      <c r="AE55" s="248"/>
      <c r="AF55" s="248"/>
      <c r="AG55" s="248"/>
      <c r="AH55" s="248"/>
      <c r="AI55" s="248"/>
      <c r="AJ55" s="248"/>
      <c r="AK55" s="248"/>
      <c r="AL55" s="248"/>
      <c r="AM55" s="248"/>
      <c r="AN55" s="248"/>
      <c r="AO55" s="248"/>
      <c r="AP55" s="248"/>
      <c r="AQ55" s="248"/>
      <c r="AR55" s="248"/>
      <c r="AS55" s="248"/>
      <c r="AT55" s="248"/>
      <c r="AU55" s="248"/>
      <c r="AV55" s="248"/>
      <c r="AW55" s="248"/>
      <c r="AX55" s="248"/>
      <c r="AY55" s="248"/>
      <c r="AZ55" s="248"/>
      <c r="BA55" s="248"/>
      <c r="BB55" s="249"/>
    </row>
    <row r="56" customFormat="false" ht="34.5" hidden="false" customHeight="true" outlineLevel="0" collapsed="false">
      <c r="A56" s="243"/>
      <c r="B56" s="243"/>
      <c r="C56" s="243"/>
      <c r="D56" s="248"/>
      <c r="E56" s="248"/>
      <c r="F56" s="248"/>
      <c r="G56" s="248"/>
      <c r="H56" s="248"/>
      <c r="I56" s="251"/>
      <c r="J56" s="248"/>
      <c r="K56" s="248"/>
      <c r="L56" s="248"/>
      <c r="M56" s="248"/>
      <c r="N56" s="248"/>
      <c r="O56" s="248"/>
      <c r="P56" s="248"/>
      <c r="Q56" s="248"/>
      <c r="R56" s="248"/>
      <c r="S56" s="248"/>
      <c r="T56" s="248"/>
      <c r="U56" s="248"/>
      <c r="V56" s="248"/>
      <c r="W56" s="248"/>
      <c r="X56" s="248"/>
      <c r="Y56" s="248"/>
      <c r="Z56" s="248"/>
      <c r="AA56" s="248"/>
      <c r="AB56" s="248"/>
      <c r="AC56" s="248"/>
      <c r="AD56" s="248"/>
      <c r="AE56" s="248"/>
      <c r="AF56" s="248"/>
      <c r="AG56" s="248"/>
      <c r="AH56" s="248"/>
      <c r="AI56" s="248"/>
      <c r="AJ56" s="248"/>
      <c r="AK56" s="248"/>
      <c r="AL56" s="248"/>
      <c r="AM56" s="248"/>
      <c r="AN56" s="248"/>
      <c r="AO56" s="248"/>
      <c r="AP56" s="248"/>
      <c r="AQ56" s="248"/>
      <c r="AR56" s="248"/>
      <c r="AS56" s="248"/>
      <c r="AT56" s="248"/>
      <c r="AU56" s="248"/>
      <c r="AV56" s="248"/>
      <c r="AW56" s="248"/>
      <c r="AX56" s="248"/>
      <c r="AY56" s="248"/>
      <c r="AZ56" s="248"/>
      <c r="BA56" s="248"/>
      <c r="BB56" s="249"/>
    </row>
    <row r="57" customFormat="false" ht="34.5" hidden="false" customHeight="true" outlineLevel="0" collapsed="false">
      <c r="A57" s="243"/>
      <c r="B57" s="243"/>
      <c r="C57" s="243"/>
      <c r="D57" s="248"/>
      <c r="E57" s="248"/>
      <c r="F57" s="248"/>
      <c r="G57" s="248"/>
      <c r="H57" s="248"/>
      <c r="I57" s="251"/>
      <c r="J57" s="248"/>
      <c r="K57" s="248"/>
      <c r="L57" s="248"/>
      <c r="M57" s="248"/>
      <c r="N57" s="248"/>
      <c r="O57" s="248"/>
      <c r="P57" s="248"/>
      <c r="Q57" s="248"/>
      <c r="R57" s="248"/>
      <c r="S57" s="248"/>
      <c r="T57" s="248"/>
      <c r="U57" s="248"/>
      <c r="V57" s="248"/>
      <c r="W57" s="248"/>
      <c r="X57" s="248"/>
      <c r="Y57" s="248"/>
      <c r="Z57" s="248"/>
      <c r="AA57" s="248"/>
      <c r="AB57" s="248"/>
      <c r="AC57" s="248"/>
      <c r="AD57" s="248"/>
      <c r="AE57" s="248"/>
      <c r="AF57" s="248"/>
      <c r="AG57" s="248"/>
      <c r="AH57" s="248"/>
      <c r="AI57" s="248"/>
      <c r="AJ57" s="248"/>
      <c r="AK57" s="248"/>
      <c r="AL57" s="248"/>
      <c r="AM57" s="248"/>
      <c r="AN57" s="248"/>
      <c r="AO57" s="248"/>
      <c r="AP57" s="248"/>
      <c r="AQ57" s="248"/>
      <c r="AR57" s="248"/>
      <c r="AS57" s="248"/>
      <c r="AT57" s="248"/>
      <c r="AU57" s="248"/>
      <c r="AV57" s="248"/>
      <c r="AW57" s="248"/>
      <c r="AX57" s="248"/>
      <c r="AY57" s="248"/>
      <c r="AZ57" s="248"/>
      <c r="BA57" s="248"/>
      <c r="BB57" s="249"/>
    </row>
    <row r="58" customFormat="false" ht="34.5" hidden="false" customHeight="true" outlineLevel="0" collapsed="false">
      <c r="A58" s="243"/>
      <c r="B58" s="243"/>
      <c r="C58" s="243"/>
      <c r="D58" s="248"/>
      <c r="E58" s="248"/>
      <c r="F58" s="248"/>
      <c r="G58" s="248"/>
      <c r="H58" s="248"/>
      <c r="I58" s="251"/>
      <c r="J58" s="248"/>
      <c r="K58" s="248"/>
      <c r="L58" s="248"/>
      <c r="M58" s="248"/>
      <c r="N58" s="248"/>
      <c r="O58" s="248"/>
      <c r="P58" s="248"/>
      <c r="Q58" s="248"/>
      <c r="R58" s="248"/>
      <c r="S58" s="248"/>
      <c r="T58" s="248"/>
      <c r="U58" s="248"/>
      <c r="V58" s="248"/>
      <c r="W58" s="248"/>
      <c r="X58" s="248"/>
      <c r="Y58" s="248"/>
      <c r="Z58" s="248"/>
      <c r="AA58" s="248"/>
      <c r="AB58" s="248"/>
      <c r="AC58" s="248"/>
      <c r="AD58" s="248"/>
      <c r="AE58" s="248"/>
      <c r="AF58" s="248"/>
      <c r="AG58" s="248"/>
      <c r="AH58" s="248"/>
      <c r="AI58" s="248"/>
      <c r="AJ58" s="248"/>
      <c r="AK58" s="248"/>
      <c r="AL58" s="248"/>
      <c r="AM58" s="248"/>
      <c r="AN58" s="248"/>
      <c r="AO58" s="248"/>
      <c r="AP58" s="248"/>
      <c r="AQ58" s="248"/>
      <c r="AR58" s="248"/>
      <c r="AS58" s="248"/>
      <c r="AT58" s="248"/>
      <c r="AU58" s="248"/>
      <c r="AV58" s="248"/>
      <c r="AW58" s="248"/>
      <c r="AX58" s="248"/>
      <c r="AY58" s="248"/>
      <c r="AZ58" s="248"/>
      <c r="BA58" s="248"/>
      <c r="BB58" s="249"/>
    </row>
    <row r="59" customFormat="false" ht="34.5" hidden="false" customHeight="true" outlineLevel="0" collapsed="false">
      <c r="A59" s="243"/>
      <c r="B59" s="243"/>
      <c r="C59" s="243"/>
      <c r="D59" s="248"/>
      <c r="E59" s="248"/>
      <c r="F59" s="248"/>
      <c r="G59" s="248"/>
      <c r="H59" s="248"/>
      <c r="I59" s="251"/>
      <c r="J59" s="248"/>
      <c r="K59" s="248"/>
      <c r="L59" s="248"/>
      <c r="M59" s="248"/>
      <c r="N59" s="248"/>
      <c r="O59" s="248"/>
      <c r="P59" s="248"/>
      <c r="Q59" s="248"/>
      <c r="R59" s="248"/>
      <c r="S59" s="248"/>
      <c r="T59" s="248"/>
      <c r="U59" s="248"/>
      <c r="V59" s="248"/>
      <c r="W59" s="248"/>
      <c r="X59" s="248"/>
      <c r="Y59" s="248"/>
      <c r="Z59" s="248"/>
      <c r="AA59" s="248"/>
      <c r="AB59" s="248"/>
      <c r="AC59" s="248"/>
      <c r="AD59" s="248"/>
      <c r="AE59" s="248"/>
      <c r="AF59" s="248"/>
      <c r="AG59" s="248"/>
      <c r="AH59" s="248"/>
      <c r="AI59" s="248"/>
      <c r="AJ59" s="248"/>
      <c r="AK59" s="248"/>
      <c r="AL59" s="248"/>
      <c r="AM59" s="248"/>
      <c r="AN59" s="248"/>
      <c r="AO59" s="248"/>
      <c r="AP59" s="248"/>
      <c r="AQ59" s="248"/>
      <c r="AR59" s="248"/>
      <c r="AS59" s="248"/>
      <c r="AT59" s="248"/>
      <c r="AU59" s="248"/>
      <c r="AV59" s="248"/>
      <c r="AW59" s="248"/>
      <c r="AX59" s="248"/>
      <c r="AY59" s="248"/>
      <c r="AZ59" s="248"/>
      <c r="BA59" s="248"/>
      <c r="BB59" s="249"/>
    </row>
  </sheetData>
  <mergeCells count="69">
    <mergeCell ref="D1:F1"/>
    <mergeCell ref="G1:AP1"/>
    <mergeCell ref="AQ1:AS1"/>
    <mergeCell ref="AT1:AW1"/>
    <mergeCell ref="AX1:BB1"/>
    <mergeCell ref="A2:C2"/>
    <mergeCell ref="AL2:AO2"/>
    <mergeCell ref="AQ2:AS2"/>
    <mergeCell ref="A3:C3"/>
    <mergeCell ref="D3:I3"/>
    <mergeCell ref="J3:AI3"/>
    <mergeCell ref="AJ3:AP3"/>
    <mergeCell ref="AQ3:BB3"/>
    <mergeCell ref="B4:C4"/>
    <mergeCell ref="B5:C5"/>
    <mergeCell ref="A6:C6"/>
    <mergeCell ref="A7:C7"/>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46:C46"/>
    <mergeCell ref="A47:C47"/>
    <mergeCell ref="A48:C48"/>
    <mergeCell ref="A49:C49"/>
    <mergeCell ref="A50:C50"/>
    <mergeCell ref="A51:C51"/>
    <mergeCell ref="A52:C52"/>
    <mergeCell ref="A53:C53"/>
    <mergeCell ref="A54:C54"/>
    <mergeCell ref="A55:C55"/>
    <mergeCell ref="A56:C56"/>
    <mergeCell ref="A57:C57"/>
    <mergeCell ref="A58:C58"/>
    <mergeCell ref="A59:C59"/>
  </mergeCells>
  <printOptions headings="false" gridLines="false" gridLinesSet="true" horizontalCentered="true" verticalCentered="true"/>
  <pageMargins left="0" right="0" top="0.196527777777778" bottom="0" header="0.590277777777778" footer="0.511811023622047"/>
  <pageSetup paperSize="9" scale="56"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FF"/>
    <pageSetUpPr fitToPage="false"/>
  </sheetPr>
  <dimension ref="A1:M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1" activeCellId="0" sqref="B21"/>
    </sheetView>
  </sheetViews>
  <sheetFormatPr defaultColWidth="11.42578125" defaultRowHeight="12.75" customHeight="false" zeroHeight="false" outlineLevelRow="0" outlineLevelCol="0"/>
  <cols>
    <col collapsed="false" customWidth="true" hidden="false" outlineLevel="0" max="1" min="1" style="256" width="10.86"/>
    <col collapsed="false" customWidth="true" hidden="false" outlineLevel="0" max="2" min="2" style="256" width="35.28"/>
    <col collapsed="false" customWidth="true" hidden="false" outlineLevel="0" max="3" min="3" style="257" width="7.42"/>
    <col collapsed="false" customWidth="true" hidden="false" outlineLevel="0" max="5" min="4" style="258" width="10.71"/>
    <col collapsed="false" customWidth="true" hidden="false" outlineLevel="0" max="6" min="6" style="256" width="11.57"/>
    <col collapsed="false" customWidth="true" hidden="false" outlineLevel="0" max="7" min="7" style="256" width="12.28"/>
    <col collapsed="false" customWidth="false" hidden="false" outlineLevel="0" max="8" min="8" style="256" width="11.42"/>
    <col collapsed="false" customWidth="true" hidden="false" outlineLevel="0" max="9" min="9" style="256" width="12.28"/>
    <col collapsed="false" customWidth="true" hidden="false" outlineLevel="0" max="10" min="10" style="256" width="11.57"/>
    <col collapsed="false" customWidth="true" hidden="false" outlineLevel="0" max="11" min="11" style="256" width="12.28"/>
    <col collapsed="false" customWidth="true" hidden="false" outlineLevel="0" max="12" min="12" style="256" width="11.57"/>
    <col collapsed="false" customWidth="false" hidden="false" outlineLevel="0" max="16384" min="13" style="256" width="11.42"/>
  </cols>
  <sheetData>
    <row r="1" customFormat="false" ht="24" hidden="false" customHeight="true" outlineLevel="0" collapsed="false">
      <c r="B1" s="259" t="s">
        <v>177</v>
      </c>
      <c r="C1" s="259"/>
      <c r="D1" s="259"/>
      <c r="E1" s="260"/>
      <c r="F1" s="260" t="s">
        <v>115</v>
      </c>
      <c r="G1" s="261"/>
      <c r="H1" s="262"/>
      <c r="J1" s="263" t="s">
        <v>178</v>
      </c>
      <c r="K1" s="264"/>
    </row>
    <row r="3" customFormat="false" ht="12.75" hidden="false" customHeight="false" outlineLevel="0" collapsed="false">
      <c r="A3" s="265" t="s">
        <v>179</v>
      </c>
      <c r="B3" s="266" t="n">
        <f aca="false">Stammdaten!B3</f>
        <v>0</v>
      </c>
      <c r="C3" s="7"/>
      <c r="D3" s="7"/>
      <c r="E3" s="7"/>
      <c r="F3" s="7"/>
      <c r="G3" s="7"/>
      <c r="H3" s="7"/>
    </row>
    <row r="4" customFormat="false" ht="12.75" hidden="false" customHeight="false" outlineLevel="0" collapsed="false">
      <c r="A4" s="265" t="s">
        <v>180</v>
      </c>
      <c r="B4" s="266" t="n">
        <f aca="false">Stammdaten!B4</f>
        <v>0</v>
      </c>
    </row>
    <row r="5" customFormat="false" ht="12.75" hidden="false" customHeight="false" outlineLevel="0" collapsed="false">
      <c r="A5" s="265" t="s">
        <v>181</v>
      </c>
      <c r="B5" s="266" t="n">
        <f aca="false">Stammdaten!B5</f>
        <v>0</v>
      </c>
      <c r="C5" s="7"/>
      <c r="D5" s="7"/>
      <c r="E5" s="7"/>
      <c r="F5" s="7"/>
      <c r="G5" s="7"/>
      <c r="H5" s="7"/>
    </row>
    <row r="6" customFormat="false" ht="12.75" hidden="false" customHeight="false" outlineLevel="0" collapsed="false">
      <c r="A6" s="267" t="s">
        <v>3</v>
      </c>
      <c r="B6" s="266" t="n">
        <f aca="false">Stammdaten!B6</f>
        <v>0</v>
      </c>
      <c r="C6" s="7"/>
      <c r="D6" s="7"/>
      <c r="E6" s="7"/>
      <c r="F6" s="7"/>
      <c r="G6" s="7"/>
      <c r="H6" s="7"/>
    </row>
    <row r="7" customFormat="false" ht="12.75" hidden="false" customHeight="false" outlineLevel="0" collapsed="false">
      <c r="A7" s="267" t="s">
        <v>4</v>
      </c>
      <c r="B7" s="266" t="n">
        <f aca="false">Stammdaten!B7</f>
        <v>0</v>
      </c>
      <c r="C7" s="268"/>
      <c r="D7" s="268"/>
      <c r="E7" s="268"/>
      <c r="F7" s="268"/>
      <c r="G7" s="268"/>
      <c r="H7" s="268"/>
    </row>
    <row r="8" customFormat="false" ht="12.75" hidden="false" customHeight="false" outlineLevel="0" collapsed="false">
      <c r="A8" s="267" t="s">
        <v>5</v>
      </c>
      <c r="B8" s="266" t="n">
        <f aca="false">Stammdaten!B8</f>
        <v>0</v>
      </c>
    </row>
    <row r="9" customFormat="false" ht="12.75" hidden="false" customHeight="false" outlineLevel="0" collapsed="false">
      <c r="A9" s="267" t="s">
        <v>6</v>
      </c>
      <c r="B9" s="266" t="n">
        <f aca="false">Stammdaten!B9</f>
        <v>0</v>
      </c>
    </row>
    <row r="10" customFormat="false" ht="12.75" hidden="false" customHeight="false" outlineLevel="0" collapsed="false">
      <c r="A10" s="267" t="s">
        <v>7</v>
      </c>
      <c r="B10" s="266" t="n">
        <f aca="false">Stammdaten!B10</f>
        <v>0</v>
      </c>
    </row>
    <row r="11" customFormat="false" ht="12.75" hidden="false" customHeight="false" outlineLevel="0" collapsed="false">
      <c r="A11" s="267" t="s">
        <v>8</v>
      </c>
      <c r="B11" s="266" t="n">
        <f aca="false">Stammdaten!B11</f>
        <v>0</v>
      </c>
    </row>
    <row r="12" customFormat="false" ht="12.75" hidden="false" customHeight="false" outlineLevel="0" collapsed="false">
      <c r="B12" s="266"/>
      <c r="H12" s="269"/>
      <c r="K12" s="270"/>
      <c r="L12" s="270"/>
    </row>
    <row r="13" customFormat="false" ht="12.75" hidden="false" customHeight="false" outlineLevel="0" collapsed="false">
      <c r="A13" s="271" t="s">
        <v>182</v>
      </c>
      <c r="B13" s="266" t="n">
        <f aca="false">Stammdaten!B13</f>
        <v>0</v>
      </c>
      <c r="D13" s="272"/>
      <c r="G13" s="273" t="s">
        <v>183</v>
      </c>
      <c r="H13" s="274" t="n">
        <v>0</v>
      </c>
      <c r="I13" s="275" t="s">
        <v>184</v>
      </c>
      <c r="J13" s="276" t="n">
        <v>0</v>
      </c>
      <c r="K13" s="270"/>
      <c r="L13" s="270"/>
      <c r="M13" s="269"/>
    </row>
    <row r="14" customFormat="false" ht="12.75" hidden="false" customHeight="false" outlineLevel="0" collapsed="false">
      <c r="A14" s="271" t="s">
        <v>11</v>
      </c>
      <c r="B14" s="266" t="n">
        <f aca="false">Stammdaten!B15</f>
        <v>0</v>
      </c>
      <c r="H14" s="269"/>
      <c r="I14" s="269"/>
      <c r="J14" s="277"/>
      <c r="K14" s="270"/>
      <c r="L14" s="270"/>
      <c r="M14" s="269"/>
    </row>
    <row r="15" customFormat="false" ht="12.75" hidden="false" customHeight="false" outlineLevel="0" collapsed="false">
      <c r="B15" s="278"/>
      <c r="H15" s="269"/>
      <c r="I15" s="269"/>
      <c r="J15" s="277"/>
      <c r="K15" s="270"/>
      <c r="L15" s="270"/>
    </row>
    <row r="16" customFormat="false" ht="12.75" hidden="false" customHeight="false" outlineLevel="0" collapsed="false">
      <c r="B16" s="278"/>
      <c r="H16" s="269"/>
      <c r="I16" s="269"/>
      <c r="J16" s="277"/>
      <c r="K16" s="270"/>
      <c r="L16" s="270"/>
    </row>
    <row r="17" customFormat="false" ht="12.75" hidden="false" customHeight="false" outlineLevel="0" collapsed="false">
      <c r="B17" s="278"/>
      <c r="H17" s="269"/>
      <c r="I17" s="269"/>
      <c r="J17" s="277"/>
      <c r="K17" s="270"/>
      <c r="L17" s="270"/>
    </row>
    <row r="18" customFormat="false" ht="12.75" hidden="false" customHeight="false" outlineLevel="0" collapsed="false">
      <c r="B18" s="278"/>
      <c r="H18" s="269"/>
      <c r="I18" s="269"/>
      <c r="J18" s="277"/>
      <c r="K18" s="270"/>
      <c r="L18" s="270"/>
    </row>
    <row r="19" customFormat="false" ht="12.75" hidden="false" customHeight="false" outlineLevel="0" collapsed="false">
      <c r="A19" s="279" t="s">
        <v>185</v>
      </c>
      <c r="B19" s="280" t="s">
        <v>186</v>
      </c>
      <c r="C19" s="281" t="s">
        <v>68</v>
      </c>
      <c r="D19" s="282" t="s">
        <v>187</v>
      </c>
      <c r="E19" s="282" t="s">
        <v>70</v>
      </c>
      <c r="F19" s="281" t="s">
        <v>188</v>
      </c>
      <c r="G19" s="283" t="s">
        <v>189</v>
      </c>
      <c r="H19" s="284" t="s">
        <v>190</v>
      </c>
      <c r="I19" s="285" t="s">
        <v>191</v>
      </c>
      <c r="J19" s="285" t="s">
        <v>192</v>
      </c>
      <c r="K19" s="286" t="s">
        <v>193</v>
      </c>
      <c r="L19" s="287" t="s">
        <v>194</v>
      </c>
    </row>
    <row r="20" customFormat="false" ht="12.75" hidden="false" customHeight="false" outlineLevel="0" collapsed="false">
      <c r="A20" s="288"/>
      <c r="B20" s="289"/>
      <c r="C20" s="288"/>
      <c r="D20" s="290"/>
      <c r="E20" s="290"/>
      <c r="F20" s="288"/>
      <c r="G20" s="291"/>
      <c r="H20" s="269"/>
      <c r="I20" s="269"/>
      <c r="J20" s="277"/>
      <c r="K20" s="270"/>
      <c r="L20" s="270"/>
    </row>
    <row r="21" customFormat="false" ht="12.75" hidden="false" customHeight="false" outlineLevel="0" collapsed="false">
      <c r="A21" s="292" t="s">
        <v>195</v>
      </c>
      <c r="B21" s="293"/>
      <c r="C21" s="294"/>
      <c r="D21" s="295"/>
      <c r="E21" s="295"/>
      <c r="F21" s="296" t="n">
        <f aca="false">D21*E21</f>
        <v>0</v>
      </c>
      <c r="G21" s="297" t="n">
        <f aca="false">C21*F21</f>
        <v>0</v>
      </c>
      <c r="H21" s="298" t="n">
        <f aca="false">$H$13</f>
        <v>0</v>
      </c>
      <c r="I21" s="299" t="n">
        <f aca="false">G21*H21</f>
        <v>0</v>
      </c>
      <c r="J21" s="300" t="n">
        <f aca="false">$J$13</f>
        <v>0</v>
      </c>
      <c r="K21" s="301" t="e">
        <f aca="false">I21/J21</f>
        <v>#DIV/0!</v>
      </c>
      <c r="L21" s="302" t="e">
        <f aca="false">G21/K21</f>
        <v>#DIV/0!</v>
      </c>
    </row>
    <row r="22" customFormat="false" ht="12.75" hidden="false" customHeight="false" outlineLevel="0" collapsed="false">
      <c r="A22" s="292"/>
      <c r="B22" s="303"/>
      <c r="C22" s="304"/>
      <c r="D22" s="305"/>
      <c r="E22" s="305"/>
      <c r="F22" s="296"/>
      <c r="G22" s="297"/>
      <c r="H22" s="306"/>
      <c r="I22" s="307"/>
      <c r="J22" s="308"/>
      <c r="K22" s="309"/>
      <c r="L22" s="310"/>
    </row>
    <row r="23" customFormat="false" ht="12.75" hidden="false" customHeight="false" outlineLevel="0" collapsed="false">
      <c r="B23" s="311" t="s">
        <v>196</v>
      </c>
      <c r="C23" s="257" t="n">
        <f aca="false">SUM(C21)</f>
        <v>0</v>
      </c>
      <c r="D23" s="312"/>
      <c r="E23" s="312"/>
      <c r="F23" s="313"/>
      <c r="G23" s="314" t="n">
        <f aca="false">SUM(G21)</f>
        <v>0</v>
      </c>
      <c r="I23" s="315" t="n">
        <f aca="false">SUM(I21)</f>
        <v>0</v>
      </c>
      <c r="J23" s="316"/>
      <c r="K23" s="317" t="e">
        <f aca="false">SUM(K21)</f>
        <v>#DIV/0!</v>
      </c>
    </row>
    <row r="24" customFormat="false" ht="12.75" hidden="false" customHeight="false" outlineLevel="0" collapsed="false">
      <c r="B24" s="318"/>
      <c r="D24" s="319"/>
      <c r="E24" s="319"/>
      <c r="F24" s="320"/>
      <c r="G24" s="320"/>
      <c r="M24" s="270"/>
    </row>
    <row r="26" customFormat="false" ht="12.75" hidden="false" customHeight="false" outlineLevel="0" collapsed="false">
      <c r="A26" s="289" t="s">
        <v>197</v>
      </c>
      <c r="B26" s="321" t="s">
        <v>198</v>
      </c>
      <c r="F26" s="322"/>
      <c r="G26" s="323"/>
    </row>
    <row r="27" customFormat="false" ht="12.75" hidden="false" customHeight="false" outlineLevel="0" collapsed="false">
      <c r="B27" s="324" t="s">
        <v>199</v>
      </c>
      <c r="C27" s="325" t="n">
        <f aca="false">SUM(G23)</f>
        <v>0</v>
      </c>
      <c r="D27" s="326" t="s">
        <v>200</v>
      </c>
      <c r="E27" s="327" t="e">
        <f aca="false">G27/C27</f>
        <v>#DIV/0!</v>
      </c>
      <c r="F27" s="328" t="s">
        <v>201</v>
      </c>
      <c r="G27" s="329" t="n">
        <f aca="false">SUM(I23)</f>
        <v>0</v>
      </c>
      <c r="H27" s="330" t="s">
        <v>202</v>
      </c>
      <c r="I27" s="331" t="e">
        <f aca="false">G27/J13</f>
        <v>#DIV/0!</v>
      </c>
      <c r="J27" s="332" t="s">
        <v>203</v>
      </c>
      <c r="K27" s="333" t="e">
        <f aca="false">C27/I27</f>
        <v>#DIV/0!</v>
      </c>
      <c r="L27" s="334" t="s">
        <v>204</v>
      </c>
    </row>
    <row r="28" customFormat="false" ht="12.75" hidden="false" customHeight="false" outlineLevel="0" collapsed="false">
      <c r="B28" s="324"/>
      <c r="H28" s="332"/>
      <c r="I28" s="332"/>
      <c r="J28" s="334"/>
      <c r="K28" s="335"/>
    </row>
    <row r="29" customFormat="false" ht="12.75" hidden="false" customHeight="false" outlineLevel="0" collapsed="false">
      <c r="H29" s="336"/>
      <c r="I29" s="336"/>
    </row>
    <row r="30" customFormat="false" ht="12.75" hidden="false" customHeight="false" outlineLevel="0" collapsed="false">
      <c r="A30" s="289" t="s">
        <v>205</v>
      </c>
      <c r="B30" s="321" t="s">
        <v>206</v>
      </c>
      <c r="F30" s="322"/>
      <c r="G30" s="323"/>
      <c r="H30" s="332"/>
      <c r="I30" s="332"/>
    </row>
    <row r="31" customFormat="false" ht="12.75" hidden="false" customHeight="false" outlineLevel="0" collapsed="false">
      <c r="B31" s="324" t="s">
        <v>207</v>
      </c>
      <c r="C31" s="325" t="n">
        <f aca="false">C35</f>
        <v>0</v>
      </c>
      <c r="D31" s="326" t="s">
        <v>200</v>
      </c>
      <c r="E31" s="327" t="e">
        <f aca="false">G31/C31</f>
        <v>#DIV/0!</v>
      </c>
      <c r="F31" s="328" t="s">
        <v>201</v>
      </c>
      <c r="G31" s="329" t="n">
        <f aca="false">G27*0.35</f>
        <v>0</v>
      </c>
      <c r="H31" s="330" t="s">
        <v>202</v>
      </c>
      <c r="I31" s="331" t="e">
        <f aca="false">G31/J13</f>
        <v>#DIV/0!</v>
      </c>
      <c r="J31" s="332" t="s">
        <v>203</v>
      </c>
      <c r="K31" s="333" t="e">
        <f aca="false">C31/I31</f>
        <v>#DIV/0!</v>
      </c>
      <c r="L31" s="334" t="s">
        <v>204</v>
      </c>
    </row>
    <row r="32" customFormat="false" ht="12.75" hidden="false" customHeight="false" outlineLevel="0" collapsed="false">
      <c r="K32" s="333"/>
      <c r="L32" s="334"/>
    </row>
    <row r="33" customFormat="false" ht="12.75" hidden="false" customHeight="false" outlineLevel="0" collapsed="false">
      <c r="K33" s="333"/>
      <c r="L33" s="334"/>
    </row>
    <row r="34" customFormat="false" ht="12.75" hidden="false" customHeight="false" outlineLevel="0" collapsed="false">
      <c r="A34" s="289" t="s">
        <v>208</v>
      </c>
      <c r="B34" s="321" t="s">
        <v>209</v>
      </c>
      <c r="F34" s="322"/>
      <c r="G34" s="323"/>
      <c r="H34" s="332"/>
      <c r="I34" s="332"/>
      <c r="K34" s="333"/>
      <c r="L34" s="334"/>
    </row>
    <row r="35" customFormat="false" ht="12.75" hidden="false" customHeight="false" outlineLevel="0" collapsed="false">
      <c r="B35" s="324" t="s">
        <v>207</v>
      </c>
      <c r="C35" s="325" t="n">
        <f aca="false">C39</f>
        <v>0</v>
      </c>
      <c r="D35" s="326" t="s">
        <v>200</v>
      </c>
      <c r="E35" s="327" t="e">
        <f aca="false">G35/C35</f>
        <v>#DIV/0!</v>
      </c>
      <c r="F35" s="328" t="s">
        <v>201</v>
      </c>
      <c r="G35" s="329" t="n">
        <f aca="false">G27*0.75</f>
        <v>0</v>
      </c>
      <c r="H35" s="330" t="s">
        <v>202</v>
      </c>
      <c r="I35" s="331" t="e">
        <f aca="false">G35/J13</f>
        <v>#DIV/0!</v>
      </c>
      <c r="J35" s="332" t="s">
        <v>203</v>
      </c>
      <c r="K35" s="333" t="e">
        <f aca="false">C35/I35</f>
        <v>#DIV/0!</v>
      </c>
      <c r="L35" s="334" t="s">
        <v>204</v>
      </c>
    </row>
    <row r="38" customFormat="false" ht="12.75" hidden="false" customHeight="false" outlineLevel="0" collapsed="false">
      <c r="A38" s="289" t="s">
        <v>210</v>
      </c>
      <c r="B38" s="289" t="s">
        <v>211</v>
      </c>
      <c r="F38" s="337" t="s">
        <v>201</v>
      </c>
      <c r="G38" s="320"/>
    </row>
    <row r="41" customFormat="false" ht="12.75" hidden="false" customHeight="false" outlineLevel="0" collapsed="false">
      <c r="B41" s="289" t="s">
        <v>212</v>
      </c>
      <c r="G41" s="338"/>
    </row>
    <row r="42" customFormat="false" ht="13.5"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true" verticalCentered="false"/>
  <pageMargins left="0.39375" right="0.39375" top="0.39375" bottom="0.39375" header="0.511811023622047" footer="0.511811023622047"/>
  <pageSetup paperSize="9" scale="7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6600"/>
    <pageSetUpPr fitToPage="false"/>
  </sheetPr>
  <dimension ref="A1:M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9" activeCellId="0" sqref="A19"/>
    </sheetView>
  </sheetViews>
  <sheetFormatPr defaultColWidth="11.42578125" defaultRowHeight="12.75" customHeight="false" zeroHeight="false" outlineLevelRow="0" outlineLevelCol="0"/>
  <cols>
    <col collapsed="false" customWidth="true" hidden="false" outlineLevel="0" max="1" min="1" style="339" width="10.86"/>
    <col collapsed="false" customWidth="true" hidden="false" outlineLevel="0" max="2" min="2" style="339" width="26.86"/>
    <col collapsed="false" customWidth="true" hidden="false" outlineLevel="0" max="3" min="3" style="339" width="8.42"/>
    <col collapsed="false" customWidth="true" hidden="false" outlineLevel="0" max="4" min="4" style="339" width="7.57"/>
    <col collapsed="false" customWidth="true" hidden="false" outlineLevel="0" max="6" min="5" style="339" width="9.71"/>
    <col collapsed="false" customWidth="true" hidden="false" outlineLevel="0" max="8" min="7" style="339" width="10.71"/>
    <col collapsed="false" customWidth="true" hidden="false" outlineLevel="0" max="9" min="9" style="340" width="11.57"/>
    <col collapsed="false" customWidth="true" hidden="false" outlineLevel="0" max="10" min="10" style="340" width="14.42"/>
    <col collapsed="false" customWidth="false" hidden="false" outlineLevel="0" max="16384" min="11" style="339" width="11.42"/>
  </cols>
  <sheetData>
    <row r="1" customFormat="false" ht="24" hidden="false" customHeight="true" outlineLevel="0" collapsed="false">
      <c r="A1" s="341" t="s">
        <v>213</v>
      </c>
      <c r="B1" s="341"/>
      <c r="C1" s="341"/>
      <c r="D1" s="341"/>
      <c r="E1" s="342"/>
      <c r="F1" s="342" t="s">
        <v>115</v>
      </c>
      <c r="G1" s="261"/>
      <c r="H1" s="340"/>
      <c r="J1" s="339"/>
    </row>
    <row r="3" customFormat="false" ht="12.75" hidden="false" customHeight="false" outlineLevel="0" collapsed="false">
      <c r="A3" s="265" t="s">
        <v>179</v>
      </c>
      <c r="B3" s="266" t="n">
        <f aca="false">Stammdaten!B3</f>
        <v>0</v>
      </c>
      <c r="F3" s="343" t="s">
        <v>214</v>
      </c>
      <c r="G3" s="344"/>
    </row>
    <row r="4" customFormat="false" ht="12.75" hidden="false" customHeight="false" outlineLevel="0" collapsed="false">
      <c r="A4" s="265" t="s">
        <v>180</v>
      </c>
      <c r="B4" s="266" t="n">
        <f aca="false">Stammdaten!B4</f>
        <v>0</v>
      </c>
    </row>
    <row r="5" customFormat="false" ht="12.75" hidden="false" customHeight="false" outlineLevel="0" collapsed="false">
      <c r="A5" s="265" t="s">
        <v>181</v>
      </c>
      <c r="B5" s="266" t="n">
        <f aca="false">Stammdaten!B5</f>
        <v>0</v>
      </c>
    </row>
    <row r="6" customFormat="false" ht="12.75" hidden="false" customHeight="false" outlineLevel="0" collapsed="false">
      <c r="A6" s="267" t="s">
        <v>3</v>
      </c>
      <c r="B6" s="266" t="n">
        <f aca="false">Stammdaten!B6</f>
        <v>0</v>
      </c>
    </row>
    <row r="7" customFormat="false" ht="12.75" hidden="false" customHeight="false" outlineLevel="0" collapsed="false">
      <c r="A7" s="267" t="s">
        <v>4</v>
      </c>
      <c r="B7" s="266" t="n">
        <f aca="false">Stammdaten!B7</f>
        <v>0</v>
      </c>
    </row>
    <row r="8" customFormat="false" ht="12.75" hidden="false" customHeight="false" outlineLevel="0" collapsed="false">
      <c r="A8" s="267" t="s">
        <v>5</v>
      </c>
      <c r="B8" s="266" t="n">
        <f aca="false">Stammdaten!B8</f>
        <v>0</v>
      </c>
    </row>
    <row r="9" customFormat="false" ht="12.75" hidden="false" customHeight="false" outlineLevel="0" collapsed="false">
      <c r="A9" s="267" t="s">
        <v>6</v>
      </c>
      <c r="B9" s="266" t="n">
        <f aca="false">Stammdaten!B9</f>
        <v>0</v>
      </c>
    </row>
    <row r="10" customFormat="false" ht="12.75" hidden="false" customHeight="false" outlineLevel="0" collapsed="false">
      <c r="A10" s="267" t="s">
        <v>7</v>
      </c>
      <c r="B10" s="266" t="n">
        <f aca="false">Stammdaten!B10</f>
        <v>0</v>
      </c>
    </row>
    <row r="11" customFormat="false" ht="12.75" hidden="false" customHeight="false" outlineLevel="0" collapsed="false">
      <c r="A11" s="267" t="s">
        <v>8</v>
      </c>
      <c r="B11" s="266" t="n">
        <f aca="false">Stammdaten!B11</f>
        <v>0</v>
      </c>
    </row>
    <row r="12" customFormat="false" ht="12.75" hidden="false" customHeight="false" outlineLevel="0" collapsed="false">
      <c r="A12" s="256"/>
      <c r="B12" s="266"/>
    </row>
    <row r="13" customFormat="false" ht="12.75" hidden="false" customHeight="false" outlineLevel="0" collapsed="false">
      <c r="A13" s="271" t="s">
        <v>182</v>
      </c>
      <c r="B13" s="266" t="n">
        <f aca="false">Stammdaten!B13</f>
        <v>0</v>
      </c>
      <c r="H13" s="345" t="s">
        <v>183</v>
      </c>
      <c r="I13" s="346" t="n">
        <v>0</v>
      </c>
      <c r="J13" s="347" t="s">
        <v>184</v>
      </c>
      <c r="K13" s="348" t="n">
        <v>0</v>
      </c>
      <c r="L13" s="349"/>
      <c r="M13" s="349"/>
    </row>
    <row r="14" customFormat="false" ht="12.75" hidden="false" customHeight="false" outlineLevel="0" collapsed="false">
      <c r="A14" s="271" t="s">
        <v>11</v>
      </c>
      <c r="B14" s="266" t="n">
        <f aca="false">Stammdaten!B15</f>
        <v>0</v>
      </c>
      <c r="E14" s="350"/>
      <c r="I14" s="351"/>
      <c r="J14" s="351"/>
      <c r="K14" s="352"/>
      <c r="L14" s="349"/>
      <c r="M14" s="349"/>
    </row>
    <row r="15" customFormat="false" ht="12.75" hidden="false" customHeight="false" outlineLevel="0" collapsed="false">
      <c r="I15" s="351"/>
      <c r="J15" s="351"/>
      <c r="K15" s="352"/>
      <c r="L15" s="349"/>
      <c r="M15" s="349"/>
    </row>
    <row r="16" customFormat="false" ht="12.75" hidden="false" customHeight="false" outlineLevel="0" collapsed="false">
      <c r="A16" s="353" t="s">
        <v>215</v>
      </c>
      <c r="B16" s="353" t="s">
        <v>186</v>
      </c>
      <c r="C16" s="353" t="s">
        <v>216</v>
      </c>
      <c r="D16" s="353" t="s">
        <v>68</v>
      </c>
      <c r="E16" s="353" t="s">
        <v>217</v>
      </c>
      <c r="F16" s="353" t="s">
        <v>218</v>
      </c>
      <c r="G16" s="354" t="s">
        <v>219</v>
      </c>
      <c r="H16" s="355" t="s">
        <v>220</v>
      </c>
      <c r="I16" s="356" t="s">
        <v>190</v>
      </c>
      <c r="J16" s="357" t="s">
        <v>191</v>
      </c>
      <c r="K16" s="357" t="s">
        <v>192</v>
      </c>
      <c r="L16" s="358" t="s">
        <v>193</v>
      </c>
      <c r="M16" s="359" t="s">
        <v>194</v>
      </c>
    </row>
    <row r="17" customFormat="false" ht="12.75" hidden="false" customHeight="false" outlineLevel="0" collapsed="false">
      <c r="I17" s="351"/>
      <c r="J17" s="351"/>
      <c r="K17" s="352"/>
      <c r="L17" s="349"/>
      <c r="M17" s="349"/>
    </row>
    <row r="18" customFormat="false" ht="12.75" hidden="false" customHeight="false" outlineLevel="0" collapsed="false">
      <c r="A18" s="360" t="s">
        <v>195</v>
      </c>
      <c r="B18" s="361"/>
      <c r="C18" s="362"/>
      <c r="D18" s="360"/>
      <c r="E18" s="363"/>
      <c r="F18" s="363"/>
      <c r="G18" s="364" t="n">
        <f aca="false">E18*F18</f>
        <v>0</v>
      </c>
      <c r="H18" s="365" t="n">
        <f aca="false">D18*G18</f>
        <v>0</v>
      </c>
      <c r="I18" s="366" t="n">
        <f aca="false">$I$13</f>
        <v>0</v>
      </c>
      <c r="J18" s="367" t="n">
        <f aca="false">H18*I18</f>
        <v>0</v>
      </c>
      <c r="K18" s="368" t="n">
        <f aca="false">$K$13</f>
        <v>0</v>
      </c>
      <c r="L18" s="369" t="e">
        <f aca="false">J18/K18</f>
        <v>#DIV/0!</v>
      </c>
      <c r="M18" s="370" t="e">
        <f aca="false">H18/L18</f>
        <v>#DIV/0!</v>
      </c>
    </row>
    <row r="19" customFormat="false" ht="12.75" hidden="false" customHeight="false" outlineLevel="0" collapsed="false">
      <c r="A19" s="360"/>
      <c r="B19" s="371"/>
      <c r="C19" s="372"/>
      <c r="D19" s="373"/>
      <c r="E19" s="374"/>
      <c r="F19" s="374"/>
      <c r="G19" s="375"/>
      <c r="H19" s="376"/>
      <c r="I19" s="377"/>
      <c r="J19" s="378"/>
      <c r="K19" s="379"/>
      <c r="L19" s="380"/>
      <c r="M19" s="381"/>
    </row>
    <row r="20" customFormat="false" ht="12.75" hidden="false" customHeight="false" outlineLevel="0" collapsed="false">
      <c r="B20" s="382" t="s">
        <v>221</v>
      </c>
      <c r="C20" s="383"/>
      <c r="D20" s="384"/>
      <c r="H20" s="385" t="n">
        <f aca="false">SUM(H18)</f>
        <v>0</v>
      </c>
      <c r="I20" s="386"/>
      <c r="J20" s="387" t="n">
        <f aca="false">SUM(J18)</f>
        <v>0</v>
      </c>
      <c r="K20" s="388"/>
      <c r="L20" s="389" t="e">
        <f aca="false">SUM(L18)</f>
        <v>#DIV/0!</v>
      </c>
      <c r="M20" s="386"/>
    </row>
    <row r="21" customFormat="false" ht="13.5" hidden="false" customHeight="false" outlineLevel="0" collapsed="false">
      <c r="I21" s="386"/>
      <c r="J21" s="386"/>
      <c r="K21" s="386"/>
      <c r="L21" s="386"/>
      <c r="M21" s="386"/>
    </row>
    <row r="22" customFormat="false" ht="12.75" hidden="false" customHeight="false" outlineLevel="0" collapsed="false">
      <c r="C22" s="390"/>
    </row>
    <row r="23" customFormat="false" ht="12.75" hidden="false" customHeight="false" outlineLevel="0" collapsed="false">
      <c r="A23" s="391"/>
      <c r="B23" s="391"/>
    </row>
    <row r="24" customFormat="false" ht="12.75" hidden="false" customHeight="false" outlineLevel="0" collapsed="false">
      <c r="A24" s="391"/>
      <c r="B24" s="391"/>
    </row>
    <row r="25" customFormat="false" ht="12.75" hidden="false" customHeight="false" outlineLevel="0" collapsed="false">
      <c r="A25" s="392"/>
    </row>
    <row r="26" customFormat="false" ht="12.75" hidden="false" customHeight="false" outlineLevel="0" collapsed="false">
      <c r="A26" s="392"/>
    </row>
    <row r="27" customFormat="false" ht="12.75" hidden="false" customHeight="false" outlineLevel="0" collapsed="false">
      <c r="A27" s="392"/>
    </row>
    <row r="28" customFormat="false" ht="12.75" hidden="false" customHeight="false" outlineLevel="0" collapsed="false">
      <c r="A28" s="392"/>
    </row>
    <row r="29" customFormat="false" ht="12.75" hidden="false" customHeight="false" outlineLevel="0" collapsed="false">
      <c r="A29" s="392"/>
    </row>
    <row r="30" customFormat="false" ht="12.75" hidden="false" customHeight="false" outlineLevel="0" collapsed="false">
      <c r="A30" s="392"/>
    </row>
    <row r="31" customFormat="false" ht="12.75" hidden="false" customHeight="false" outlineLevel="0" collapsed="false">
      <c r="A31" s="392"/>
    </row>
    <row r="40" customFormat="false" ht="12.75" hidden="false" customHeight="false" outlineLevel="0" collapsed="false">
      <c r="J40" s="339"/>
      <c r="K40" s="340"/>
      <c r="L40" s="340"/>
    </row>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
    <mergeCell ref="A1:D1"/>
  </mergeCells>
  <printOptions headings="false" gridLines="false" gridLinesSet="true" horizontalCentered="true" verticalCentered="false"/>
  <pageMargins left="0.7875" right="0.590277777777778" top="0.984027777777778" bottom="0.984027777777778" header="0.511811023622047" footer="0.511811023622047"/>
  <pageSetup paperSize="9" scale="8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LibreOffice/26.2.1.2$Linux_X86_64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2001-04-12T14:06:40Z</dcterms:created>
  <dc:creator>Jan Leutert</dc:creator>
  <dc:description/>
  <dc:language>de-DE</dc:language>
  <cp:lastModifiedBy/>
  <cp:lastPrinted>2025-07-09T10:40:30Z</cp:lastPrinted>
  <dcterms:modified xsi:type="dcterms:W3CDTF">2026-03-07T15:24:55Z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